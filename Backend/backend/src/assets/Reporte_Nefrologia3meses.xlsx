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royecto tesis\Proyecto Tesis\Backend\backend\src\assets\"/>
    </mc:Choice>
  </mc:AlternateContent>
  <xr:revisionPtr revIDLastSave="0" documentId="13_ncr:1_{E97F9EF1-F734-4C46-AD34-058487ED337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VISION GENERAL" sheetId="1" r:id="rId1"/>
    <sheet name="DATOS OCULTO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8" i="1" l="1"/>
  <c r="I27" i="1"/>
  <c r="I26" i="1"/>
  <c r="H28" i="1"/>
  <c r="H27" i="1"/>
  <c r="H26" i="1"/>
  <c r="H43" i="1"/>
  <c r="H42" i="1"/>
  <c r="I42" i="1" s="1"/>
  <c r="E19" i="1"/>
  <c r="E28" i="1"/>
  <c r="E27" i="1"/>
  <c r="E26" i="1"/>
  <c r="B28" i="1" a="1"/>
  <c r="B28" i="1" s="1"/>
  <c r="B27" i="1" a="1"/>
  <c r="B27" i="1" s="1"/>
  <c r="B26" i="1" a="1"/>
  <c r="B26" i="1" s="1"/>
  <c r="G54" i="1"/>
  <c r="D45" i="1"/>
  <c r="D44" i="1"/>
  <c r="D43" i="1"/>
  <c r="D42" i="1"/>
  <c r="G56" i="1"/>
  <c r="G55" i="1"/>
  <c r="H99" i="1"/>
  <c r="H100" i="1"/>
  <c r="H98" i="1"/>
  <c r="H96" i="1"/>
  <c r="G96" i="1"/>
  <c r="AD23" i="3"/>
  <c r="G99" i="1" s="1"/>
  <c r="AD24" i="3"/>
  <c r="G100" i="1" s="1"/>
  <c r="AD22" i="3"/>
  <c r="G98" i="1" s="1"/>
  <c r="Z22" i="3"/>
  <c r="B98" i="1" s="1"/>
  <c r="Z23" i="3"/>
  <c r="B99" i="1" s="1"/>
  <c r="Z24" i="3"/>
  <c r="B100" i="1" s="1"/>
  <c r="D100" i="1"/>
  <c r="D99" i="1"/>
  <c r="D98" i="1"/>
  <c r="H90" i="1"/>
  <c r="H89" i="1"/>
  <c r="H88" i="1"/>
  <c r="H86" i="1"/>
  <c r="D96" i="1"/>
  <c r="B96" i="1"/>
  <c r="G86" i="1"/>
  <c r="V23" i="3"/>
  <c r="G89" i="1" s="1"/>
  <c r="V24" i="3"/>
  <c r="G90" i="1" s="1"/>
  <c r="V22" i="3"/>
  <c r="G88" i="1" s="1"/>
  <c r="D89" i="1"/>
  <c r="D90" i="1"/>
  <c r="D88" i="1"/>
  <c r="D86" i="1"/>
  <c r="B86" i="1"/>
  <c r="R24" i="3"/>
  <c r="B90" i="1" s="1"/>
  <c r="R23" i="3"/>
  <c r="B89" i="1" s="1"/>
  <c r="R22" i="3"/>
  <c r="B88" i="1" s="1"/>
  <c r="H80" i="1"/>
  <c r="H78" i="1"/>
  <c r="H79" i="1"/>
  <c r="D80" i="1"/>
  <c r="D79" i="1"/>
  <c r="D78" i="1"/>
  <c r="D69" i="1"/>
  <c r="D68" i="1"/>
  <c r="D67" i="1"/>
  <c r="H76" i="1"/>
  <c r="G76" i="1"/>
  <c r="N24" i="3"/>
  <c r="G80" i="1" s="1"/>
  <c r="N23" i="3"/>
  <c r="G79" i="1" s="1"/>
  <c r="N22" i="3"/>
  <c r="G78" i="1" s="1"/>
  <c r="J22" i="3"/>
  <c r="J23" i="3"/>
  <c r="B79" i="1" s="1"/>
  <c r="J24" i="3"/>
  <c r="B80" i="1" s="1"/>
  <c r="D76" i="1"/>
  <c r="B78" i="1"/>
  <c r="B76" i="1"/>
  <c r="H65" i="1"/>
  <c r="H69" i="1"/>
  <c r="H68" i="1"/>
  <c r="H67" i="1"/>
  <c r="G65" i="1"/>
  <c r="B65" i="1"/>
  <c r="D65" i="1"/>
  <c r="F22" i="3"/>
  <c r="G67" i="1" s="1"/>
  <c r="F23" i="3"/>
  <c r="G68" i="1" s="1"/>
  <c r="F24" i="3"/>
  <c r="G69" i="1" s="1"/>
  <c r="B22" i="3"/>
  <c r="B67" i="1" s="1"/>
  <c r="B23" i="3"/>
  <c r="B68" i="1" s="1"/>
  <c r="B24" i="3"/>
  <c r="B69" i="1" s="1"/>
  <c r="E21" i="1"/>
  <c r="E20" i="1"/>
  <c r="I19" i="1"/>
  <c r="I20" i="1"/>
  <c r="I43" i="1" l="1"/>
  <c r="E44" i="1"/>
  <c r="E45" i="1"/>
  <c r="E43" i="1"/>
  <c r="E4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<sst xmlns="http://schemas.openxmlformats.org/spreadsheetml/2006/main" count="132" uniqueCount="82">
  <si>
    <t>REPORTE DEL SERVICIO DE NEFROLOGÍA</t>
  </si>
  <si>
    <t>Sección 1: Visión General</t>
  </si>
  <si>
    <t>Indicador</t>
  </si>
  <si>
    <t>Total</t>
  </si>
  <si>
    <t>Edad Promedio</t>
  </si>
  <si>
    <t>Hombres</t>
  </si>
  <si>
    <t>Mujeres</t>
  </si>
  <si>
    <t>Variación Período</t>
  </si>
  <si>
    <t>Pacientes Activos</t>
  </si>
  <si>
    <t>Pacientes Hipertensos</t>
  </si>
  <si>
    <t>Pacientes Diabéticos</t>
  </si>
  <si>
    <t>Distribución de Pacientes Diabéticos:</t>
  </si>
  <si>
    <t>Porcentaje</t>
  </si>
  <si>
    <t>Hemodiálisis</t>
  </si>
  <si>
    <t>Catéter Temporal</t>
  </si>
  <si>
    <t>Mes</t>
  </si>
  <si>
    <t>Cantidad</t>
  </si>
  <si>
    <t>Tipo</t>
  </si>
  <si>
    <t>Catéter Peritoneal</t>
  </si>
  <si>
    <t>Estado</t>
  </si>
  <si>
    <t>Crítico</t>
  </si>
  <si>
    <t>Estable</t>
  </si>
  <si>
    <t>Mejorando</t>
  </si>
  <si>
    <t>Peritoneal</t>
  </si>
  <si>
    <t>DISTRIBUCIÓN DEMOGRÁFICA</t>
  </si>
  <si>
    <t>Distribución por Grupos de Edad</t>
  </si>
  <si>
    <t>Grupo Edad</t>
  </si>
  <si>
    <t>0-18</t>
  </si>
  <si>
    <t>1.3%</t>
  </si>
  <si>
    <t>19-30</t>
  </si>
  <si>
    <t>5.0%</t>
  </si>
  <si>
    <t>31-45</t>
  </si>
  <si>
    <t>2.5%</t>
  </si>
  <si>
    <t>46-60</t>
  </si>
  <si>
    <t>Distribución por Sexo</t>
  </si>
  <si>
    <t>Sexo</t>
  </si>
  <si>
    <t>Hombre</t>
  </si>
  <si>
    <t>32.5%</t>
  </si>
  <si>
    <t>Mujer</t>
  </si>
  <si>
    <t>20.0%</t>
  </si>
  <si>
    <t>Etnia</t>
  </si>
  <si>
    <t>Caucásico</t>
  </si>
  <si>
    <t>23.8%</t>
  </si>
  <si>
    <t>Afro</t>
  </si>
  <si>
    <t>13.8%</t>
  </si>
  <si>
    <t>Asiático</t>
  </si>
  <si>
    <t>7.5%</t>
  </si>
  <si>
    <t>HEMOGLOBINA</t>
  </si>
  <si>
    <t>HEMATOCRITO</t>
  </si>
  <si>
    <t>GLICEMIA</t>
  </si>
  <si>
    <t>UREA</t>
  </si>
  <si>
    <t>CREATININA</t>
  </si>
  <si>
    <t>CALCIO</t>
  </si>
  <si>
    <t>Hospital Universitario "Manuel Nuñez Tovar"</t>
  </si>
  <si>
    <t>Sección 2: Revisión General</t>
  </si>
  <si>
    <t>Fistula VA</t>
  </si>
  <si>
    <t>Tipo de Acceso Vascular</t>
  </si>
  <si>
    <t>Sección 3: Distribución Demográfica</t>
  </si>
  <si>
    <t>Sección 4: Distribución Clínica</t>
  </si>
  <si>
    <t>Valor</t>
  </si>
  <si>
    <t>12.0 - 16.0 g/dL</t>
  </si>
  <si>
    <t>Hemoglobina</t>
  </si>
  <si>
    <t>Hematocrito</t>
  </si>
  <si>
    <t>36% - 48%</t>
  </si>
  <si>
    <t>70 - 100 mg/dL</t>
  </si>
  <si>
    <t>Glicemia</t>
  </si>
  <si>
    <t>10 - 50 mg/dL</t>
  </si>
  <si>
    <t>Urea</t>
  </si>
  <si>
    <t>Creatinina</t>
  </si>
  <si>
    <t xml:space="preserve"> 0.6 - 1.2 mg/dL</t>
  </si>
  <si>
    <t>ALBUMINA</t>
  </si>
  <si>
    <t>3.4 - 5.4 g/dL</t>
  </si>
  <si>
    <t>Albumina</t>
  </si>
  <si>
    <t>8.5 - 10.5 mg/dL</t>
  </si>
  <si>
    <t>Calcio</t>
  </si>
  <si>
    <t>FOSFORO</t>
  </si>
  <si>
    <t>2.5 - 4.5 mg/dL</t>
  </si>
  <si>
    <t>Fósforo</t>
  </si>
  <si>
    <t>• Diabetes Tipo 2:</t>
  </si>
  <si>
    <t>Pacientes</t>
  </si>
  <si>
    <t>Tipo de AV</t>
  </si>
  <si>
    <r>
      <rPr>
        <b/>
        <sz val="20"/>
        <color rgb="FF000000"/>
        <rFont val="Calibri"/>
        <family val="2"/>
        <scheme val="minor"/>
      </rPr>
      <t>• Diabetes Tipo</t>
    </r>
    <r>
      <rPr>
        <sz val="20"/>
        <color rgb="FF000000"/>
        <rFont val="Calibri"/>
        <family val="2"/>
        <scheme val="minor"/>
      </rPr>
      <t xml:space="preserve"> </t>
    </r>
    <r>
      <rPr>
        <b/>
        <sz val="20"/>
        <color rgb="FF000000"/>
        <rFont val="Calibri"/>
        <family val="2"/>
        <scheme val="minor"/>
      </rPr>
      <t>1: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</si>
</sst>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5B6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 tint="0.249977111117893"/>
      <name val="Calibri"/>
      <family val="2"/>
      <scheme val="minor"/>
    </font>
    <font>
      <b/>
      <sz val="22"/>
      <color rgb="FF2E75B6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3"/>
      <name val="Calibri"/>
      <family val="2"/>
      <scheme val="minor"/>
    </font>
    <font>
      <sz val="20"/>
      <color theme="1" tint="0.249977111117893"/>
      <name val="Calibri"/>
      <family val="2"/>
      <scheme val="minor"/>
    </font>
    <font>
      <sz val="18"/>
      <color theme="1" tint="0.34998626667073579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color theme="3" tint="-0.249977111117893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3" tint="-0.249977111117893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4"/>
      <color rgb="FF2E75B6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64">
    <border>
      <left/>
      <right/>
      <top/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 style="thin">
        <color rgb="FFBF9000"/>
      </left>
      <right/>
      <top style="thin">
        <color rgb="FFBF9000"/>
      </top>
      <bottom style="thin">
        <color rgb="FFBF9000"/>
      </bottom>
      <diagonal/>
    </border>
    <border>
      <left/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 style="thin">
        <color rgb="FFBF9000"/>
      </right>
      <top/>
      <bottom style="thin">
        <color rgb="FFBF9000"/>
      </bottom>
      <diagonal/>
    </border>
    <border>
      <left style="thin">
        <color rgb="FFBF9000"/>
      </left>
      <right style="thin">
        <color theme="2" tint="-0.499984740745262"/>
      </right>
      <top/>
      <bottom style="thin">
        <color rgb="FFBF9000"/>
      </bottom>
      <diagonal/>
    </border>
    <border>
      <left style="thin">
        <color rgb="FFBF9000"/>
      </left>
      <right style="thin">
        <color theme="2" tint="-0.499984740745262"/>
      </right>
      <top style="thin">
        <color rgb="FFBF9000"/>
      </top>
      <bottom style="thin">
        <color rgb="FFBF9000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thin">
        <color rgb="FFBF9000"/>
      </bottom>
      <diagonal/>
    </border>
    <border>
      <left/>
      <right style="thin">
        <color rgb="FFBF9000"/>
      </right>
      <top style="thin">
        <color theme="2" tint="-0.499984740745262"/>
      </top>
      <bottom/>
      <diagonal/>
    </border>
    <border>
      <left/>
      <right/>
      <top style="thin">
        <color rgb="FFBF9000"/>
      </top>
      <bottom style="thin">
        <color rgb="FFBF900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2" tint="-0.49998474074526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 style="thin">
        <color theme="0"/>
      </left>
      <right/>
      <top style="thin">
        <color rgb="FFBF9000"/>
      </top>
      <bottom/>
      <diagonal/>
    </border>
    <border>
      <left style="thin">
        <color theme="2" tint="-0.499984740745262"/>
      </left>
      <right style="thin">
        <color rgb="FFBF9000"/>
      </right>
      <top style="thin">
        <color theme="2" tint="-0.499984740745262"/>
      </top>
      <bottom style="thin">
        <color rgb="FFBF9000"/>
      </bottom>
      <diagonal/>
    </border>
    <border>
      <left style="thin">
        <color rgb="FFBF9000"/>
      </left>
      <right style="thin">
        <color rgb="FFBF9000"/>
      </right>
      <top style="thin">
        <color theme="2" tint="-0.499984740745262"/>
      </top>
      <bottom style="thin">
        <color rgb="FFBF9000"/>
      </bottom>
      <diagonal/>
    </border>
    <border>
      <left/>
      <right style="thin">
        <color theme="2" tint="-0.499984740745262"/>
      </right>
      <top style="thin">
        <color theme="0"/>
      </top>
      <bottom/>
      <diagonal/>
    </border>
    <border>
      <left style="thin">
        <color theme="0"/>
      </left>
      <right style="thin">
        <color theme="2" tint="-0.499984740745262"/>
      </right>
      <top style="thin">
        <color theme="0"/>
      </top>
      <bottom style="thin">
        <color theme="0"/>
      </bottom>
      <diagonal/>
    </border>
    <border>
      <left style="thin">
        <color rgb="FFBF9000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rgb="FFBF9000"/>
      </left>
      <right style="thin">
        <color theme="2" tint="-0.499984740745262"/>
      </right>
      <top style="thin">
        <color theme="2" tint="-0.499984740745262"/>
      </top>
      <bottom style="thin">
        <color rgb="FFBF9000"/>
      </bottom>
      <diagonal/>
    </border>
    <border>
      <left/>
      <right style="thin">
        <color rgb="FFBF9000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BF9000"/>
      </left>
      <right style="thin">
        <color rgb="FFBF9000"/>
      </right>
      <top style="thin">
        <color rgb="FFBF900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BF9000"/>
      </left>
      <right/>
      <top style="thin">
        <color rgb="FFBF9000"/>
      </top>
      <bottom/>
      <diagonal/>
    </border>
    <border>
      <left style="thin">
        <color theme="0"/>
      </left>
      <right/>
      <top style="thin">
        <color theme="2" tint="-0.499984740745262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 tint="-0.34998626667073579"/>
      </bottom>
      <diagonal/>
    </border>
    <border>
      <left/>
      <right style="thin">
        <color theme="0"/>
      </right>
      <top style="thin">
        <color theme="0"/>
      </top>
      <bottom style="thin">
        <color theme="0" tint="-0.34998626667073579"/>
      </bottom>
      <diagonal/>
    </border>
    <border>
      <left style="thin">
        <color theme="0"/>
      </left>
      <right/>
      <top style="thin">
        <color theme="0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BF9000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/>
      <top style="thin">
        <color rgb="FFBF9000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rgb="FFBF9000"/>
      </top>
      <bottom style="thin">
        <color rgb="FFBF9000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rgb="FFBF9000"/>
      </top>
      <bottom/>
      <diagonal/>
    </border>
    <border>
      <left style="thin">
        <color rgb="FFBF9000"/>
      </left>
      <right/>
      <top style="thin">
        <color theme="2" tint="-0.499984740745262"/>
      </top>
      <bottom style="thin">
        <color rgb="FFBF9000"/>
      </bottom>
      <diagonal/>
    </border>
    <border>
      <left/>
      <right style="thin">
        <color rgb="FFBF9000"/>
      </right>
      <top style="thin">
        <color theme="2" tint="-0.499984740745262"/>
      </top>
      <bottom style="thin">
        <color rgb="FFBF9000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rgb="FFBF9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 tint="-0.34998626667073579"/>
      </top>
      <bottom style="thin">
        <color theme="2" tint="-0.499984740745262"/>
      </bottom>
      <diagonal/>
    </border>
    <border>
      <left/>
      <right/>
      <top style="thin">
        <color theme="0" tint="-0.34998626667073579"/>
      </top>
      <bottom style="thin">
        <color theme="2" tint="-0.499984740745262"/>
      </bottom>
      <diagonal/>
    </border>
    <border>
      <left style="thin">
        <color theme="0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/>
      </left>
      <right/>
      <top/>
      <bottom style="thin">
        <color theme="2" tint="-0.499984740745262"/>
      </bottom>
      <diagonal/>
    </border>
    <border>
      <left/>
      <right style="thin">
        <color theme="0"/>
      </right>
      <top/>
      <bottom style="thin">
        <color theme="2" tint="-0.499984740745262"/>
      </bottom>
      <diagonal/>
    </border>
    <border>
      <left/>
      <right style="thin">
        <color theme="0"/>
      </right>
      <top style="thin">
        <color theme="2" tint="-0.499984740745262"/>
      </top>
      <bottom style="thin">
        <color theme="2" tint="-0.499984740745262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7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  <xf numFmtId="0" fontId="0" fillId="0" borderId="0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8" xfId="0" applyBorder="1"/>
    <xf numFmtId="0" fontId="0" fillId="0" borderId="29" xfId="0" applyBorder="1"/>
    <xf numFmtId="0" fontId="0" fillId="0" borderId="25" xfId="0" applyBorder="1"/>
    <xf numFmtId="0" fontId="0" fillId="0" borderId="18" xfId="0" applyBorder="1"/>
    <xf numFmtId="0" fontId="0" fillId="0" borderId="19" xfId="0" applyBorder="1"/>
    <xf numFmtId="0" fontId="0" fillId="0" borderId="14" xfId="0" applyBorder="1"/>
    <xf numFmtId="0" fontId="8" fillId="0" borderId="7" xfId="0" applyFont="1" applyBorder="1"/>
    <xf numFmtId="0" fontId="0" fillId="0" borderId="38" xfId="0" applyBorder="1"/>
    <xf numFmtId="0" fontId="0" fillId="0" borderId="40" xfId="0" applyBorder="1"/>
    <xf numFmtId="0" fontId="0" fillId="0" borderId="41" xfId="0" applyBorder="1"/>
    <xf numFmtId="0" fontId="7" fillId="2" borderId="7" xfId="0" applyFont="1" applyFill="1" applyBorder="1"/>
    <xf numFmtId="0" fontId="5" fillId="0" borderId="23" xfId="0" applyFont="1" applyBorder="1" applyAlignment="1"/>
    <xf numFmtId="0" fontId="5" fillId="0" borderId="16" xfId="0" applyFont="1" applyBorder="1" applyAlignment="1"/>
    <xf numFmtId="0" fontId="5" fillId="0" borderId="21" xfId="0" applyFont="1" applyBorder="1" applyAlignment="1"/>
    <xf numFmtId="0" fontId="5" fillId="0" borderId="22" xfId="0" applyFont="1" applyBorder="1" applyAlignment="1"/>
    <xf numFmtId="0" fontId="0" fillId="0" borderId="12" xfId="0" applyBorder="1"/>
    <xf numFmtId="0" fontId="0" fillId="0" borderId="45" xfId="0" applyBorder="1"/>
    <xf numFmtId="0" fontId="0" fillId="0" borderId="16" xfId="0" applyBorder="1" applyAlignment="1"/>
    <xf numFmtId="0" fontId="0" fillId="0" borderId="23" xfId="0" applyBorder="1" applyAlignment="1"/>
    <xf numFmtId="0" fontId="8" fillId="3" borderId="16" xfId="0" applyFont="1" applyFill="1" applyBorder="1"/>
    <xf numFmtId="1" fontId="8" fillId="3" borderId="16" xfId="0" applyNumberFormat="1" applyFont="1" applyFill="1" applyBorder="1"/>
    <xf numFmtId="0" fontId="8" fillId="3" borderId="16" xfId="0" applyFont="1" applyFill="1" applyBorder="1" applyAlignment="1"/>
    <xf numFmtId="0" fontId="0" fillId="0" borderId="20" xfId="0" applyBorder="1"/>
    <xf numFmtId="0" fontId="8" fillId="0" borderId="36" xfId="0" applyFont="1" applyBorder="1" applyAlignment="1"/>
    <xf numFmtId="0" fontId="0" fillId="0" borderId="21" xfId="0" applyBorder="1" applyAlignment="1"/>
    <xf numFmtId="0" fontId="6" fillId="0" borderId="45" xfId="0" applyFont="1" applyBorder="1" applyAlignment="1"/>
    <xf numFmtId="0" fontId="0" fillId="3" borderId="0" xfId="0" applyFill="1"/>
    <xf numFmtId="0" fontId="8" fillId="0" borderId="48" xfId="0" applyFont="1" applyBorder="1"/>
    <xf numFmtId="0" fontId="8" fillId="0" borderId="49" xfId="0" applyFont="1" applyBorder="1"/>
    <xf numFmtId="0" fontId="0" fillId="3" borderId="16" xfId="0" applyFill="1" applyBorder="1"/>
    <xf numFmtId="0" fontId="0" fillId="3" borderId="38" xfId="0" applyFill="1" applyBorder="1"/>
    <xf numFmtId="0" fontId="9" fillId="2" borderId="48" xfId="0" applyFont="1" applyFill="1" applyBorder="1"/>
    <xf numFmtId="0" fontId="8" fillId="3" borderId="38" xfId="0" applyFont="1" applyFill="1" applyBorder="1" applyAlignment="1"/>
    <xf numFmtId="1" fontId="8" fillId="3" borderId="38" xfId="0" applyNumberFormat="1" applyFont="1" applyFill="1" applyBorder="1" applyAlignment="1"/>
    <xf numFmtId="0" fontId="15" fillId="3" borderId="0" xfId="0" applyFont="1" applyFill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0" fillId="3" borderId="41" xfId="0" applyFill="1" applyBorder="1"/>
    <xf numFmtId="0" fontId="0" fillId="3" borderId="23" xfId="0" applyFill="1" applyBorder="1"/>
    <xf numFmtId="0" fontId="0" fillId="3" borderId="21" xfId="0" applyFill="1" applyBorder="1"/>
    <xf numFmtId="14" fontId="0" fillId="0" borderId="0" xfId="0" applyNumberFormat="1"/>
    <xf numFmtId="0" fontId="0" fillId="0" borderId="0" xfId="0" applyAlignment="1">
      <alignment horizontal="right"/>
    </xf>
    <xf numFmtId="0" fontId="16" fillId="0" borderId="1" xfId="0" applyFont="1" applyBorder="1"/>
    <xf numFmtId="0" fontId="17" fillId="2" borderId="37" xfId="0" applyFont="1" applyFill="1" applyBorder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7" fillId="2" borderId="47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6" fillId="0" borderId="7" xfId="0" applyFont="1" applyBorder="1"/>
    <xf numFmtId="0" fontId="16" fillId="0" borderId="8" xfId="0" applyFont="1" applyBorder="1" applyAlignment="1">
      <alignment horizontal="center"/>
    </xf>
    <xf numFmtId="9" fontId="16" fillId="0" borderId="7" xfId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37" xfId="0" applyFont="1" applyBorder="1"/>
    <xf numFmtId="0" fontId="16" fillId="0" borderId="39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2" xfId="0" applyFont="1" applyBorder="1"/>
    <xf numFmtId="0" fontId="16" fillId="0" borderId="7" xfId="0" applyFont="1" applyBorder="1" applyAlignment="1"/>
    <xf numFmtId="0" fontId="9" fillId="3" borderId="41" xfId="0" applyFont="1" applyFill="1" applyBorder="1"/>
    <xf numFmtId="0" fontId="16" fillId="0" borderId="3" xfId="0" applyFont="1" applyBorder="1" applyAlignment="1">
      <alignment horizontal="center"/>
    </xf>
    <xf numFmtId="10" fontId="16" fillId="0" borderId="6" xfId="1" applyNumberFormat="1" applyFont="1" applyBorder="1" applyAlignment="1">
      <alignment horizontal="center"/>
    </xf>
    <xf numFmtId="0" fontId="17" fillId="2" borderId="3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0" fillId="3" borderId="45" xfId="0" applyFill="1" applyBorder="1"/>
    <xf numFmtId="0" fontId="0" fillId="3" borderId="12" xfId="0" applyFill="1" applyBorder="1"/>
    <xf numFmtId="0" fontId="17" fillId="2" borderId="52" xfId="0" applyFont="1" applyFill="1" applyBorder="1" applyAlignment="1">
      <alignment horizontal="center" vertical="center"/>
    </xf>
    <xf numFmtId="0" fontId="17" fillId="2" borderId="53" xfId="0" applyFont="1" applyFill="1" applyBorder="1" applyAlignment="1">
      <alignment horizontal="center" vertical="center"/>
    </xf>
    <xf numFmtId="0" fontId="16" fillId="3" borderId="7" xfId="0" applyFont="1" applyFill="1" applyBorder="1" applyAlignment="1"/>
    <xf numFmtId="9" fontId="16" fillId="0" borderId="3" xfId="1" applyFont="1" applyBorder="1"/>
    <xf numFmtId="0" fontId="14" fillId="3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1" fontId="16" fillId="0" borderId="6" xfId="0" applyNumberFormat="1" applyFont="1" applyBorder="1" applyAlignment="1">
      <alignment horizontal="center"/>
    </xf>
    <xf numFmtId="0" fontId="17" fillId="2" borderId="26" xfId="0" applyFont="1" applyFill="1" applyBorder="1" applyAlignment="1">
      <alignment horizontal="center" vertical="center"/>
    </xf>
    <xf numFmtId="0" fontId="17" fillId="2" borderId="27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46" xfId="0" applyFont="1" applyFill="1" applyBorder="1" applyAlignment="1">
      <alignment horizontal="center" vertical="center"/>
    </xf>
    <xf numFmtId="0" fontId="23" fillId="0" borderId="54" xfId="0" applyFont="1" applyBorder="1" applyAlignment="1">
      <alignment horizontal="left" vertical="center"/>
    </xf>
    <xf numFmtId="0" fontId="17" fillId="2" borderId="33" xfId="0" applyFont="1" applyFill="1" applyBorder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1" fontId="16" fillId="0" borderId="30" xfId="0" applyNumberFormat="1" applyFont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1" fontId="16" fillId="2" borderId="5" xfId="0" applyNumberFormat="1" applyFont="1" applyFill="1" applyBorder="1" applyAlignment="1">
      <alignment horizontal="center" vertical="center"/>
    </xf>
    <xf numFmtId="0" fontId="22" fillId="0" borderId="54" xfId="0" applyFont="1" applyBorder="1" applyAlignment="1">
      <alignment vertical="center"/>
    </xf>
    <xf numFmtId="0" fontId="20" fillId="5" borderId="7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9" fillId="5" borderId="33" xfId="0" applyFont="1" applyFill="1" applyBorder="1" applyAlignment="1">
      <alignment horizontal="center" vertical="center"/>
    </xf>
    <xf numFmtId="0" fontId="19" fillId="5" borderId="34" xfId="0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0" fontId="14" fillId="3" borderId="33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/>
    </xf>
    <xf numFmtId="0" fontId="15" fillId="4" borderId="0" xfId="0" applyFont="1" applyFill="1" applyBorder="1" applyAlignment="1">
      <alignment horizontal="center" vertical="center"/>
    </xf>
    <xf numFmtId="9" fontId="16" fillId="0" borderId="7" xfId="1" applyFont="1" applyBorder="1" applyAlignment="1">
      <alignment horizontal="center"/>
    </xf>
    <xf numFmtId="0" fontId="17" fillId="2" borderId="7" xfId="0" applyFont="1" applyFill="1" applyBorder="1" applyAlignment="1">
      <alignment horizontal="center" vertical="center"/>
    </xf>
    <xf numFmtId="9" fontId="16" fillId="0" borderId="7" xfId="1" applyNumberFormat="1" applyFont="1" applyBorder="1" applyAlignment="1">
      <alignment horizontal="center"/>
    </xf>
    <xf numFmtId="0" fontId="17" fillId="2" borderId="33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9" fontId="16" fillId="0" borderId="33" xfId="1" applyFont="1" applyBorder="1" applyAlignment="1">
      <alignment horizontal="center"/>
    </xf>
    <xf numFmtId="9" fontId="16" fillId="0" borderId="17" xfId="1" applyFont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0" fontId="9" fillId="3" borderId="41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16" fillId="0" borderId="33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7" fillId="2" borderId="50" xfId="0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33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16" fillId="2" borderId="33" xfId="0" applyFont="1" applyFill="1" applyBorder="1" applyAlignment="1">
      <alignment horizontal="left" vertical="center"/>
    </xf>
    <xf numFmtId="0" fontId="16" fillId="2" borderId="17" xfId="0" applyFont="1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11" xfId="0" applyBorder="1" applyAlignment="1">
      <alignment horizontal="center"/>
    </xf>
    <xf numFmtId="0" fontId="21" fillId="0" borderId="55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56" xfId="0" applyFont="1" applyBorder="1" applyAlignment="1">
      <alignment horizontal="center" vertical="center"/>
    </xf>
    <xf numFmtId="0" fontId="22" fillId="0" borderId="55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18" fillId="4" borderId="0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7" fillId="2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0" fillId="3" borderId="12" xfId="0" applyFill="1" applyBorder="1" applyAlignment="1"/>
    <xf numFmtId="0" fontId="0" fillId="3" borderId="0" xfId="0" applyFill="1" applyBorder="1" applyAlignment="1"/>
    <xf numFmtId="0" fontId="12" fillId="0" borderId="44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1" fillId="3" borderId="12" xfId="0" applyFont="1" applyFill="1" applyBorder="1" applyAlignment="1">
      <alignment horizontal="left" indent="69"/>
    </xf>
    <xf numFmtId="0" fontId="11" fillId="3" borderId="0" xfId="0" applyFont="1" applyFill="1" applyBorder="1" applyAlignment="1">
      <alignment horizontal="left" indent="69"/>
    </xf>
    <xf numFmtId="0" fontId="15" fillId="0" borderId="58" xfId="0" applyFont="1" applyBorder="1" applyAlignment="1">
      <alignment horizontal="center"/>
    </xf>
    <xf numFmtId="0" fontId="15" fillId="0" borderId="59" xfId="0" applyFont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13" fillId="0" borderId="60" xfId="0" applyFont="1" applyBorder="1" applyAlignment="1">
      <alignment vertical="center"/>
    </xf>
    <xf numFmtId="0" fontId="13" fillId="0" borderId="63" xfId="0" applyFont="1" applyBorder="1" applyAlignment="1">
      <alignment vertical="center"/>
    </xf>
    <xf numFmtId="0" fontId="0" fillId="3" borderId="60" xfId="0" applyFill="1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215390</xdr:colOff>
      <xdr:row>0</xdr:row>
      <xdr:rowOff>125683</xdr:rowOff>
    </xdr:from>
    <xdr:to>
      <xdr:col>2</xdr:col>
      <xdr:colOff>1339022</xdr:colOff>
      <xdr:row>3</xdr:row>
      <xdr:rowOff>562965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BBF21B5-52AD-4C27-B0A7-69E2489CF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5825" y="125683"/>
          <a:ext cx="2214175" cy="2135217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0</v>
    <v>6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"/>
  <sheetViews>
    <sheetView tabSelected="1" topLeftCell="A91" zoomScale="69" zoomScaleNormal="69" zoomScalePageLayoutView="40" workbookViewId="0">
      <selection activeCell="G13" sqref="G13"/>
    </sheetView>
  </sheetViews>
  <sheetFormatPr baseColWidth="10" defaultColWidth="9.140625" defaultRowHeight="15" x14ac:dyDescent="0.25"/>
  <cols>
    <col min="1" max="1" width="31.5703125" customWidth="1"/>
    <col min="2" max="2" width="16.42578125" customWidth="1"/>
    <col min="3" max="3" width="23.7109375" customWidth="1"/>
    <col min="4" max="4" width="28" customWidth="1"/>
    <col min="5" max="5" width="33.7109375" customWidth="1"/>
    <col min="6" max="6" width="43.5703125" customWidth="1"/>
    <col min="7" max="7" width="42.5703125" customWidth="1"/>
    <col min="8" max="8" width="37" customWidth="1"/>
    <col min="9" max="9" width="16.7109375" customWidth="1"/>
    <col min="10" max="10" width="11.42578125" customWidth="1"/>
  </cols>
  <sheetData>
    <row r="1" spans="1:17" ht="61.5" x14ac:dyDescent="0.9">
      <c r="A1" s="163" t="s">
        <v>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38"/>
      <c r="M1" s="38"/>
      <c r="N1" s="38"/>
      <c r="O1" s="38"/>
      <c r="P1" s="38"/>
      <c r="Q1" s="38"/>
    </row>
    <row r="2" spans="1:17" ht="26.25" x14ac:dyDescent="0.4">
      <c r="A2" s="23"/>
      <c r="B2" s="23"/>
      <c r="C2" s="24"/>
      <c r="D2" s="38"/>
      <c r="E2" s="160" t="s">
        <v>53</v>
      </c>
      <c r="F2" s="161"/>
      <c r="G2" s="162"/>
      <c r="H2" s="26"/>
      <c r="I2" s="25"/>
      <c r="J2" s="7"/>
      <c r="K2" s="38"/>
      <c r="L2" s="38"/>
      <c r="M2" s="38"/>
      <c r="N2" s="38"/>
      <c r="O2" s="38"/>
      <c r="P2" s="38"/>
      <c r="Q2" s="38"/>
    </row>
    <row r="3" spans="1:17" ht="45.75" customHeight="1" x14ac:dyDescent="0.5">
      <c r="A3" s="143"/>
      <c r="B3" s="143"/>
      <c r="C3" s="143"/>
      <c r="D3" s="144"/>
      <c r="E3" s="165" t="s">
        <v>1</v>
      </c>
      <c r="F3" s="166"/>
      <c r="G3" s="166"/>
      <c r="H3" s="159"/>
      <c r="I3" s="159"/>
      <c r="J3" s="7"/>
      <c r="K3" s="38"/>
      <c r="L3" s="38"/>
      <c r="M3" s="38"/>
      <c r="N3" s="38"/>
      <c r="O3" s="38"/>
      <c r="P3" s="38"/>
      <c r="Q3" s="38"/>
    </row>
    <row r="4" spans="1:17" ht="48" customHeight="1" x14ac:dyDescent="0.25">
      <c r="A4" s="143"/>
      <c r="B4" s="143"/>
      <c r="C4" s="143"/>
      <c r="D4" s="144"/>
      <c r="E4" s="169"/>
      <c r="F4" s="170"/>
      <c r="G4" s="171"/>
      <c r="H4" s="159"/>
      <c r="I4" s="159"/>
      <c r="J4" s="7"/>
      <c r="K4" s="38"/>
      <c r="L4" s="38"/>
      <c r="M4" s="38"/>
      <c r="N4" s="38"/>
      <c r="O4" s="38"/>
      <c r="P4" s="38"/>
      <c r="Q4" s="38"/>
    </row>
    <row r="5" spans="1:17" ht="29.25" customHeight="1" x14ac:dyDescent="0.25">
      <c r="A5" s="143"/>
      <c r="B5" s="143"/>
      <c r="C5" s="143"/>
      <c r="D5" s="144"/>
      <c r="E5" s="167"/>
      <c r="F5" s="168"/>
      <c r="G5" s="158"/>
      <c r="H5" s="159"/>
      <c r="I5" s="159"/>
      <c r="J5" s="7"/>
      <c r="K5" s="38"/>
      <c r="L5" s="38"/>
      <c r="M5" s="38"/>
      <c r="N5" s="38"/>
      <c r="O5" s="38"/>
      <c r="P5" s="38"/>
      <c r="Q5" s="38"/>
    </row>
    <row r="6" spans="1:17" ht="33" customHeight="1" x14ac:dyDescent="0.25">
      <c r="A6" s="6"/>
      <c r="B6" s="91" t="s">
        <v>2</v>
      </c>
      <c r="C6" s="57"/>
      <c r="D6" s="85" t="s">
        <v>3</v>
      </c>
      <c r="E6" s="86" t="s">
        <v>4</v>
      </c>
      <c r="F6" s="87" t="s">
        <v>5</v>
      </c>
      <c r="G6" s="88" t="s">
        <v>6</v>
      </c>
      <c r="H6" s="89" t="s">
        <v>7</v>
      </c>
      <c r="I6" s="11"/>
      <c r="J6" s="7"/>
      <c r="K6" s="38"/>
      <c r="L6" s="38"/>
      <c r="M6" s="38"/>
      <c r="N6" s="38"/>
      <c r="O6" s="38"/>
      <c r="P6" s="38"/>
      <c r="Q6" s="38"/>
    </row>
    <row r="7" spans="1:17" ht="28.5" x14ac:dyDescent="0.25">
      <c r="A7" s="12"/>
      <c r="B7" s="139" t="s">
        <v>8</v>
      </c>
      <c r="C7" s="140"/>
      <c r="D7" s="92"/>
      <c r="E7" s="93"/>
      <c r="F7" s="94"/>
      <c r="G7" s="95"/>
      <c r="H7" s="96"/>
      <c r="I7" s="11"/>
      <c r="J7" s="7"/>
      <c r="K7" s="38"/>
      <c r="L7" s="38"/>
      <c r="M7" s="38"/>
      <c r="N7" s="38"/>
      <c r="O7" s="38"/>
      <c r="P7" s="38"/>
      <c r="Q7" s="38"/>
    </row>
    <row r="8" spans="1:17" ht="28.5" x14ac:dyDescent="0.25">
      <c r="A8" s="13"/>
      <c r="B8" s="141" t="s">
        <v>9</v>
      </c>
      <c r="C8" s="142"/>
      <c r="D8" s="97"/>
      <c r="E8" s="98"/>
      <c r="F8" s="99"/>
      <c r="G8" s="100"/>
      <c r="H8" s="101"/>
      <c r="I8" s="11"/>
      <c r="J8" s="7"/>
      <c r="K8" s="38"/>
      <c r="L8" s="38"/>
      <c r="M8" s="38"/>
      <c r="N8" s="38"/>
      <c r="O8" s="38"/>
      <c r="P8" s="38"/>
      <c r="Q8" s="38"/>
    </row>
    <row r="9" spans="1:17" ht="28.5" x14ac:dyDescent="0.45">
      <c r="A9" s="6"/>
      <c r="B9" s="139" t="s">
        <v>10</v>
      </c>
      <c r="C9" s="140"/>
      <c r="D9" s="71"/>
      <c r="E9" s="83"/>
      <c r="F9" s="83"/>
      <c r="G9" s="83"/>
      <c r="H9" s="84"/>
      <c r="I9" s="11"/>
      <c r="J9" s="7"/>
      <c r="K9" s="38"/>
      <c r="L9" s="38"/>
      <c r="M9" s="38"/>
      <c r="N9" s="38"/>
      <c r="O9" s="38"/>
      <c r="P9" s="38"/>
      <c r="Q9" s="38"/>
    </row>
    <row r="10" spans="1:17" ht="24.75" customHeight="1" x14ac:dyDescent="0.25">
      <c r="B10" s="20"/>
      <c r="C10" s="20"/>
      <c r="D10" s="14"/>
      <c r="E10" s="14"/>
      <c r="F10" s="14"/>
      <c r="G10" s="14"/>
      <c r="H10" s="14"/>
      <c r="I10" s="15"/>
      <c r="J10" s="7"/>
      <c r="K10" s="38"/>
      <c r="L10" s="38"/>
      <c r="M10" s="38"/>
      <c r="N10" s="38"/>
      <c r="O10" s="38"/>
      <c r="P10" s="38"/>
      <c r="Q10" s="38"/>
    </row>
    <row r="11" spans="1:17" ht="31.5" x14ac:dyDescent="0.25">
      <c r="A11" s="9"/>
      <c r="B11" s="145" t="s">
        <v>11</v>
      </c>
      <c r="C11" s="146"/>
      <c r="D11" s="146"/>
      <c r="E11" s="147"/>
      <c r="F11" s="30"/>
      <c r="G11" s="29"/>
      <c r="H11" s="29"/>
      <c r="I11" s="36"/>
      <c r="J11" s="7"/>
      <c r="K11" s="38"/>
      <c r="L11" s="38"/>
      <c r="M11" s="38"/>
      <c r="N11" s="38"/>
      <c r="O11" s="38"/>
      <c r="P11" s="38"/>
      <c r="Q11" s="38"/>
    </row>
    <row r="12" spans="1:17" ht="30" customHeight="1" x14ac:dyDescent="0.25">
      <c r="A12" s="9"/>
      <c r="B12" s="102" t="s">
        <v>81</v>
      </c>
      <c r="C12" s="102"/>
      <c r="D12" s="148"/>
      <c r="E12" s="149"/>
      <c r="F12" s="30"/>
      <c r="G12" s="29"/>
      <c r="H12" s="29"/>
      <c r="I12" s="36"/>
      <c r="J12" s="7"/>
      <c r="K12" s="38"/>
      <c r="L12" s="38"/>
      <c r="M12" s="38"/>
      <c r="N12" s="38"/>
      <c r="O12" s="38"/>
      <c r="P12" s="38"/>
      <c r="Q12" s="38"/>
    </row>
    <row r="13" spans="1:17" ht="34.5" customHeight="1" x14ac:dyDescent="0.25">
      <c r="A13" s="5"/>
      <c r="B13" s="90" t="s">
        <v>78</v>
      </c>
      <c r="C13" s="102"/>
      <c r="D13" s="148"/>
      <c r="E13" s="149"/>
      <c r="F13" s="30"/>
      <c r="G13" s="29"/>
      <c r="H13" s="29"/>
      <c r="I13" s="36"/>
      <c r="J13" s="7"/>
      <c r="K13" s="38"/>
      <c r="L13" s="38"/>
      <c r="M13" s="38"/>
      <c r="N13" s="38"/>
      <c r="O13" s="38"/>
      <c r="P13" s="38"/>
      <c r="Q13" s="38"/>
    </row>
    <row r="14" spans="1:17" ht="87.75" customHeight="1" x14ac:dyDescent="0.25">
      <c r="A14" s="16"/>
      <c r="B14" s="28"/>
      <c r="C14" s="28"/>
      <c r="D14" s="27"/>
      <c r="E14" s="27"/>
      <c r="F14" s="15"/>
      <c r="G14" s="21"/>
      <c r="H14" s="21"/>
      <c r="I14" s="15"/>
      <c r="J14" s="21"/>
      <c r="K14" s="38"/>
      <c r="L14" s="38"/>
      <c r="M14" s="38"/>
      <c r="N14" s="38"/>
      <c r="O14" s="38"/>
      <c r="P14" s="38"/>
      <c r="Q14" s="38"/>
    </row>
    <row r="15" spans="1:17" ht="47.25" customHeight="1" x14ac:dyDescent="0.25">
      <c r="A15" s="46"/>
      <c r="B15" s="46"/>
      <c r="C15" s="46"/>
      <c r="D15" s="46"/>
      <c r="E15" s="150" t="s">
        <v>54</v>
      </c>
      <c r="F15" s="150"/>
      <c r="G15" s="150"/>
      <c r="H15" s="46"/>
      <c r="I15" s="46"/>
      <c r="J15" s="46"/>
      <c r="K15" s="46"/>
      <c r="L15" s="46"/>
      <c r="M15" s="46"/>
      <c r="N15" s="38"/>
      <c r="O15" s="38"/>
      <c r="P15" s="38"/>
      <c r="Q15" s="38"/>
    </row>
    <row r="16" spans="1:17" ht="45.75" customHeight="1" x14ac:dyDescent="0.35">
      <c r="A16" s="17"/>
      <c r="B16" s="131"/>
      <c r="C16" s="131"/>
      <c r="D16" s="131"/>
      <c r="E16" s="151"/>
      <c r="F16" s="152"/>
      <c r="G16" s="44"/>
      <c r="H16" s="45"/>
      <c r="I16" s="17"/>
      <c r="J16" s="19"/>
      <c r="K16" s="38"/>
      <c r="L16" s="38"/>
      <c r="M16" s="38"/>
      <c r="N16" s="38"/>
      <c r="O16" s="38"/>
      <c r="P16" s="38"/>
      <c r="Q16" s="38"/>
    </row>
    <row r="17" spans="1:17" ht="15.75" customHeight="1" x14ac:dyDescent="0.35">
      <c r="A17" s="17"/>
      <c r="B17" s="120"/>
      <c r="C17" s="120"/>
      <c r="D17" s="120"/>
      <c r="E17" s="31"/>
      <c r="F17" s="120"/>
      <c r="G17" s="120"/>
      <c r="H17" s="32"/>
      <c r="I17" s="16"/>
      <c r="J17" s="21"/>
      <c r="K17" s="38"/>
      <c r="L17" s="38"/>
      <c r="M17" s="38"/>
      <c r="N17" s="38"/>
      <c r="O17" s="38"/>
      <c r="P17" s="38"/>
      <c r="Q17" s="38"/>
    </row>
    <row r="18" spans="1:17" ht="35.25" customHeight="1" x14ac:dyDescent="0.35">
      <c r="A18" s="10"/>
      <c r="B18" s="125" t="s">
        <v>19</v>
      </c>
      <c r="C18" s="126"/>
      <c r="D18" s="58" t="s">
        <v>16</v>
      </c>
      <c r="E18" s="59" t="s">
        <v>12</v>
      </c>
      <c r="F18" s="33"/>
      <c r="G18" s="55" t="s">
        <v>17</v>
      </c>
      <c r="H18" s="60" t="s">
        <v>16</v>
      </c>
      <c r="I18" s="123" t="s">
        <v>12</v>
      </c>
      <c r="J18" s="123"/>
      <c r="K18" s="38"/>
      <c r="L18" s="38"/>
      <c r="M18" s="38"/>
      <c r="N18" s="38"/>
      <c r="O18" s="38"/>
      <c r="P18" s="38"/>
      <c r="Q18" s="38"/>
    </row>
    <row r="19" spans="1:17" ht="28.5" customHeight="1" x14ac:dyDescent="0.45">
      <c r="A19" s="17"/>
      <c r="B19" s="132" t="s">
        <v>20</v>
      </c>
      <c r="C19" s="133"/>
      <c r="D19" s="62"/>
      <c r="E19" s="63" t="e">
        <f>(D19*100/SUM(D19:D21))/100</f>
        <v>#DIV/0!</v>
      </c>
      <c r="F19" s="33"/>
      <c r="G19" s="65" t="s">
        <v>13</v>
      </c>
      <c r="H19" s="66"/>
      <c r="I19" s="124" t="e">
        <f>(H19*100/SUM(H19:H20))/100</f>
        <v>#DIV/0!</v>
      </c>
      <c r="J19" s="124"/>
      <c r="K19" s="38"/>
      <c r="L19" s="38"/>
      <c r="M19" s="38"/>
      <c r="N19" s="38"/>
      <c r="O19" s="38"/>
      <c r="P19" s="38"/>
      <c r="Q19" s="38"/>
    </row>
    <row r="20" spans="1:17" ht="33.75" customHeight="1" x14ac:dyDescent="0.45">
      <c r="B20" s="132" t="s">
        <v>21</v>
      </c>
      <c r="C20" s="133"/>
      <c r="D20" s="64"/>
      <c r="E20" s="63" t="e">
        <f>(D20*100/SUM(D19:D21))/100</f>
        <v>#DIV/0!</v>
      </c>
      <c r="F20" s="35"/>
      <c r="G20" s="61" t="s">
        <v>23</v>
      </c>
      <c r="H20" s="67"/>
      <c r="I20" s="124" t="e">
        <f>(H20*100/SUM(H19:H20))/100</f>
        <v>#DIV/0!</v>
      </c>
      <c r="J20" s="124"/>
      <c r="K20" s="38"/>
      <c r="L20" s="38"/>
      <c r="M20" s="38"/>
      <c r="N20" s="38"/>
      <c r="O20" s="38"/>
      <c r="P20" s="38"/>
      <c r="Q20" s="38"/>
    </row>
    <row r="21" spans="1:17" ht="30" customHeight="1" x14ac:dyDescent="0.45">
      <c r="A21" s="21"/>
      <c r="B21" s="132" t="s">
        <v>22</v>
      </c>
      <c r="C21" s="133"/>
      <c r="D21" s="64"/>
      <c r="E21" s="63" t="e">
        <f>(D21*100/SUM(D19:D21))/100</f>
        <v>#DIV/0!</v>
      </c>
      <c r="F21" s="15"/>
      <c r="G21" s="42"/>
      <c r="H21" s="19"/>
      <c r="I21" s="19"/>
      <c r="J21" s="8"/>
      <c r="K21" s="38"/>
      <c r="L21" s="38"/>
      <c r="M21" s="38"/>
      <c r="N21" s="38"/>
      <c r="O21" s="38"/>
      <c r="P21" s="38"/>
      <c r="Q21" s="38"/>
    </row>
    <row r="22" spans="1:17" ht="28.5" x14ac:dyDescent="0.45">
      <c r="A22" s="16"/>
      <c r="B22" s="15"/>
      <c r="C22" s="15"/>
      <c r="D22" s="15"/>
      <c r="E22" s="153"/>
      <c r="F22" s="154"/>
      <c r="G22" s="37"/>
      <c r="H22" s="28"/>
      <c r="I22" s="5"/>
      <c r="J22" s="7"/>
      <c r="K22" s="38"/>
      <c r="L22" s="38"/>
      <c r="M22" s="38"/>
      <c r="N22" s="38"/>
      <c r="O22" s="38"/>
      <c r="P22" s="38"/>
      <c r="Q22" s="38"/>
    </row>
    <row r="23" spans="1:17" x14ac:dyDescent="0.25">
      <c r="A23" s="7"/>
      <c r="B23" s="21"/>
      <c r="C23" s="21"/>
      <c r="D23" s="15"/>
      <c r="E23" s="21"/>
      <c r="G23" s="21"/>
      <c r="H23" s="21"/>
      <c r="I23" s="15"/>
      <c r="J23" s="7"/>
      <c r="K23" s="38"/>
      <c r="L23" s="38"/>
      <c r="M23" s="38"/>
      <c r="N23" s="38"/>
      <c r="O23" s="38"/>
      <c r="P23" s="38"/>
      <c r="Q23" s="38"/>
    </row>
    <row r="24" spans="1:17" ht="22.5" customHeight="1" x14ac:dyDescent="0.4">
      <c r="A24" s="9"/>
      <c r="B24" s="130"/>
      <c r="C24" s="130"/>
      <c r="D24" s="70"/>
      <c r="E24" s="11"/>
      <c r="F24" s="9"/>
      <c r="G24" s="21"/>
      <c r="H24" s="7"/>
      <c r="I24" s="21"/>
      <c r="J24" s="34"/>
      <c r="K24" s="38"/>
      <c r="L24" s="38"/>
      <c r="M24" s="38"/>
      <c r="N24" s="38"/>
      <c r="O24" s="38"/>
      <c r="P24" s="38"/>
      <c r="Q24" s="38"/>
    </row>
    <row r="25" spans="1:17" ht="34.5" customHeight="1" x14ac:dyDescent="0.25">
      <c r="A25" s="9"/>
      <c r="B25" s="123" t="s">
        <v>15</v>
      </c>
      <c r="C25" s="123"/>
      <c r="D25" s="123"/>
      <c r="E25" s="59" t="s">
        <v>79</v>
      </c>
      <c r="F25" s="38"/>
      <c r="G25" s="77" t="s">
        <v>80</v>
      </c>
      <c r="H25" s="78" t="s">
        <v>16</v>
      </c>
      <c r="I25" s="125" t="s">
        <v>12</v>
      </c>
      <c r="J25" s="126"/>
      <c r="K25" s="38"/>
      <c r="L25" s="38"/>
      <c r="M25" s="38"/>
      <c r="N25" s="38"/>
      <c r="O25" s="38"/>
      <c r="P25" s="38"/>
      <c r="Q25" s="38"/>
    </row>
    <row r="26" spans="1:17" ht="33" customHeight="1" x14ac:dyDescent="0.45">
      <c r="A26" s="9"/>
      <c r="B26" s="136" t="e" cm="1" vm="1">
        <f t="array" aca="1" ref="B26" ca="1">'DATOS OCULTOS'!I2:J2</f>
        <v>#VALUE!</v>
      </c>
      <c r="C26" s="136"/>
      <c r="D26" s="136"/>
      <c r="E26" s="61">
        <f>'DATOS OCULTOS'!K2</f>
        <v>0</v>
      </c>
      <c r="F26" s="38"/>
      <c r="G26" s="69" t="s">
        <v>18</v>
      </c>
      <c r="H26" s="69">
        <f>'DATOS OCULTOS'!C16</f>
        <v>0</v>
      </c>
      <c r="I26" s="127" t="e">
        <f>(H26*100/SUM(H26:H28))/100</f>
        <v>#DIV/0!</v>
      </c>
      <c r="J26" s="128"/>
      <c r="K26" s="38"/>
      <c r="L26" s="38"/>
      <c r="M26" s="38"/>
      <c r="N26" s="38"/>
      <c r="O26" s="38"/>
      <c r="P26" s="38"/>
      <c r="Q26" s="38"/>
    </row>
    <row r="27" spans="1:17" ht="33" customHeight="1" x14ac:dyDescent="0.45">
      <c r="A27" s="9"/>
      <c r="B27" s="136" t="e" cm="1" vm="1">
        <f t="array" aca="1" ref="B27" ca="1">'DATOS OCULTOS'!I3:J3</f>
        <v>#VALUE!</v>
      </c>
      <c r="C27" s="136"/>
      <c r="D27" s="136"/>
      <c r="E27" s="61">
        <f>'DATOS OCULTOS'!K3</f>
        <v>0</v>
      </c>
      <c r="F27" s="38"/>
      <c r="G27" s="69" t="s">
        <v>14</v>
      </c>
      <c r="H27" s="69">
        <f>'DATOS OCULTOS'!C17</f>
        <v>0</v>
      </c>
      <c r="I27" s="127" t="e">
        <f>(H27*100/SUM(H26:H28))/100</f>
        <v>#DIV/0!</v>
      </c>
      <c r="J27" s="128"/>
      <c r="K27" s="38"/>
      <c r="L27" s="38"/>
      <c r="M27" s="38"/>
      <c r="N27" s="38"/>
      <c r="O27" s="38"/>
      <c r="P27" s="38"/>
      <c r="Q27" s="38"/>
    </row>
    <row r="28" spans="1:17" ht="33" customHeight="1" x14ac:dyDescent="0.45">
      <c r="A28" s="9"/>
      <c r="B28" s="136" t="e" cm="1" vm="1">
        <f t="array" aca="1" ref="B28" ca="1">'DATOS OCULTOS'!I4:J4</f>
        <v>#VALUE!</v>
      </c>
      <c r="C28" s="136"/>
      <c r="D28" s="136"/>
      <c r="E28" s="61">
        <f>'DATOS OCULTOS'!K4</f>
        <v>0</v>
      </c>
      <c r="F28" s="38"/>
      <c r="G28" s="79" t="s">
        <v>55</v>
      </c>
      <c r="H28" s="79">
        <f>'DATOS OCULTOS'!C18</f>
        <v>0</v>
      </c>
      <c r="I28" s="127" t="e">
        <f>(H28*100/SUM(H26:H28))/100</f>
        <v>#DIV/0!</v>
      </c>
      <c r="J28" s="128"/>
      <c r="K28" s="38"/>
      <c r="L28" s="38"/>
      <c r="M28" s="38"/>
      <c r="N28" s="38"/>
      <c r="O28" s="38"/>
      <c r="P28" s="38"/>
      <c r="Q28" s="38"/>
    </row>
    <row r="29" spans="1:17" x14ac:dyDescent="0.25">
      <c r="A29" s="15"/>
      <c r="D29" s="38"/>
      <c r="E29" s="38"/>
      <c r="F29" s="48"/>
      <c r="G29" s="75"/>
      <c r="H29" s="75"/>
      <c r="I29" s="76"/>
      <c r="J29" s="19"/>
      <c r="K29" s="38"/>
      <c r="L29" s="38"/>
      <c r="M29" s="38"/>
      <c r="N29" s="38"/>
      <c r="O29" s="38"/>
      <c r="P29" s="38"/>
      <c r="Q29" s="38"/>
    </row>
    <row r="30" spans="1:17" x14ac:dyDescent="0.25">
      <c r="A30" s="9"/>
      <c r="B30" s="7"/>
      <c r="C30" s="7"/>
      <c r="D30" s="19"/>
      <c r="E30" s="11"/>
      <c r="F30" s="7"/>
      <c r="G30" s="7"/>
      <c r="H30" s="7"/>
      <c r="I30" s="9"/>
      <c r="J30" s="7"/>
      <c r="K30" s="38"/>
      <c r="L30" s="38"/>
      <c r="M30" s="38"/>
      <c r="N30" s="38"/>
      <c r="O30" s="38"/>
      <c r="P30" s="38"/>
      <c r="Q30" s="38"/>
    </row>
    <row r="31" spans="1:17" x14ac:dyDescent="0.25">
      <c r="A31" s="7"/>
      <c r="B31" s="7"/>
      <c r="C31" s="7"/>
      <c r="D31" s="7"/>
      <c r="E31" s="7"/>
      <c r="F31" s="7"/>
      <c r="G31" s="7"/>
      <c r="H31" s="7"/>
      <c r="I31" s="9"/>
      <c r="J31" s="7"/>
      <c r="K31" s="38"/>
      <c r="L31" s="38"/>
      <c r="M31" s="38"/>
      <c r="N31" s="38"/>
      <c r="O31" s="38"/>
      <c r="P31" s="38"/>
      <c r="Q31" s="38"/>
    </row>
    <row r="32" spans="1:17" x14ac:dyDescent="0.25">
      <c r="A32" s="7"/>
      <c r="B32" s="7"/>
      <c r="C32" s="7"/>
      <c r="D32" s="7"/>
      <c r="E32" s="7"/>
      <c r="F32" s="7"/>
      <c r="G32" s="7"/>
      <c r="H32" s="7"/>
      <c r="I32" s="9"/>
      <c r="J32" s="7"/>
      <c r="K32" s="38"/>
      <c r="L32" s="38"/>
      <c r="M32" s="38"/>
      <c r="N32" s="38"/>
      <c r="O32" s="38"/>
      <c r="P32" s="38"/>
      <c r="Q32" s="38"/>
    </row>
    <row r="33" spans="1:17" x14ac:dyDescent="0.25">
      <c r="A33" s="7"/>
      <c r="B33" s="7"/>
      <c r="C33" s="7"/>
      <c r="D33" s="7"/>
      <c r="E33" s="7"/>
      <c r="F33" s="7"/>
      <c r="G33" s="7"/>
      <c r="H33" s="7"/>
      <c r="I33" s="9"/>
      <c r="J33" s="7"/>
      <c r="K33" s="38"/>
      <c r="L33" s="38"/>
      <c r="M33" s="38"/>
      <c r="N33" s="38"/>
      <c r="O33" s="38"/>
      <c r="P33" s="38"/>
      <c r="Q33" s="38"/>
    </row>
    <row r="34" spans="1:17" ht="43.5" customHeight="1" x14ac:dyDescent="0.25">
      <c r="A34" s="7"/>
      <c r="B34" s="7"/>
      <c r="C34" s="7"/>
      <c r="D34" s="7"/>
      <c r="E34" s="121" t="s">
        <v>57</v>
      </c>
      <c r="F34" s="121"/>
      <c r="G34" s="121"/>
      <c r="H34" s="7"/>
      <c r="I34" s="9"/>
      <c r="J34" s="7"/>
      <c r="K34" s="38"/>
      <c r="L34" s="38"/>
      <c r="M34" s="38"/>
      <c r="N34" s="38"/>
      <c r="O34" s="38"/>
      <c r="P34" s="38"/>
      <c r="Q34" s="38"/>
    </row>
    <row r="35" spans="1:17" x14ac:dyDescent="0.25">
      <c r="A35" s="7"/>
      <c r="B35" s="7"/>
      <c r="C35" s="7"/>
      <c r="D35" s="7"/>
      <c r="E35" s="7"/>
      <c r="F35" s="7"/>
      <c r="G35" s="7"/>
      <c r="H35" s="7"/>
      <c r="I35" s="9"/>
      <c r="J35" s="7"/>
      <c r="K35" s="38"/>
      <c r="L35" s="38"/>
      <c r="M35" s="38"/>
      <c r="N35" s="38"/>
      <c r="O35" s="38"/>
      <c r="P35" s="38"/>
      <c r="Q35" s="38"/>
    </row>
    <row r="36" spans="1:17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38"/>
    </row>
    <row r="37" spans="1:17" x14ac:dyDescent="0.25">
      <c r="A37" s="7"/>
      <c r="B37" s="7"/>
      <c r="C37" s="7"/>
      <c r="D37" s="7"/>
      <c r="E37" s="7"/>
      <c r="F37" s="21"/>
      <c r="G37" s="7"/>
      <c r="H37" s="7"/>
      <c r="I37" s="7"/>
      <c r="J37" s="7"/>
      <c r="K37" s="7"/>
      <c r="L37" s="7"/>
      <c r="M37" s="7"/>
      <c r="N37" s="7"/>
      <c r="O37" s="7"/>
      <c r="P37" s="7"/>
      <c r="Q37" s="38"/>
    </row>
    <row r="38" spans="1:17" x14ac:dyDescent="0.25">
      <c r="A38" s="7"/>
      <c r="B38" s="7"/>
      <c r="C38" s="7"/>
      <c r="D38" s="7"/>
      <c r="F38" s="7"/>
      <c r="H38" s="7"/>
      <c r="I38" s="7"/>
      <c r="J38" s="7"/>
      <c r="K38" s="7"/>
      <c r="L38" s="7"/>
      <c r="M38" s="7"/>
      <c r="N38" s="7"/>
      <c r="O38" s="7"/>
      <c r="P38" s="7"/>
      <c r="Q38" s="38"/>
    </row>
    <row r="39" spans="1:17" x14ac:dyDescent="0.25">
      <c r="A39" s="9"/>
      <c r="B39" s="7"/>
      <c r="C39" s="7"/>
      <c r="D39" s="7"/>
      <c r="E39" s="11"/>
      <c r="F39" s="19"/>
      <c r="G39" s="7"/>
      <c r="H39" s="7"/>
      <c r="I39" s="7"/>
      <c r="J39" s="7"/>
      <c r="K39" s="7"/>
      <c r="L39" s="7"/>
      <c r="M39" s="7"/>
      <c r="N39" s="7"/>
      <c r="O39" s="7"/>
      <c r="P39" s="7"/>
      <c r="Q39" s="38"/>
    </row>
    <row r="40" spans="1:17" x14ac:dyDescent="0.25">
      <c r="A40" s="9"/>
      <c r="B40" s="7"/>
      <c r="C40" s="7"/>
      <c r="D40" s="7"/>
      <c r="E40" s="11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38"/>
    </row>
    <row r="41" spans="1:17" ht="31.5" x14ac:dyDescent="0.5">
      <c r="A41" s="9"/>
      <c r="B41" s="134" t="s">
        <v>26</v>
      </c>
      <c r="C41" s="135"/>
      <c r="D41" s="54" t="s">
        <v>16</v>
      </c>
      <c r="E41" s="55" t="s">
        <v>12</v>
      </c>
      <c r="G41" s="55" t="s">
        <v>35</v>
      </c>
      <c r="H41" s="60" t="s">
        <v>16</v>
      </c>
      <c r="I41" s="129" t="s">
        <v>12</v>
      </c>
      <c r="J41" s="129"/>
      <c r="K41" s="7"/>
      <c r="L41" s="7"/>
      <c r="M41" s="7"/>
      <c r="N41" s="7"/>
      <c r="O41" s="7"/>
      <c r="P41" s="7"/>
      <c r="Q41" s="38"/>
    </row>
    <row r="42" spans="1:17" ht="28.5" x14ac:dyDescent="0.45">
      <c r="A42" s="9"/>
      <c r="B42" s="137" t="s">
        <v>27</v>
      </c>
      <c r="C42" s="138"/>
      <c r="D42" s="61">
        <f>'DATOS OCULTOS'!B5</f>
        <v>0</v>
      </c>
      <c r="E42" s="80" t="e">
        <f>(D42*100/SUM(D42:D45))/100</f>
        <v>#DIV/0!</v>
      </c>
      <c r="F42" s="7"/>
      <c r="G42" s="53" t="s">
        <v>36</v>
      </c>
      <c r="H42" s="68">
        <f>'DATOS OCULTOS'!F5</f>
        <v>0</v>
      </c>
      <c r="I42" s="122" t="e">
        <f>(H42*100/SUM(H42:H43))/100</f>
        <v>#DIV/0!</v>
      </c>
      <c r="J42" s="122"/>
      <c r="K42" s="7"/>
      <c r="L42" s="7"/>
      <c r="M42" s="7"/>
      <c r="N42" s="7"/>
      <c r="O42" s="7"/>
      <c r="P42" s="7"/>
      <c r="Q42" s="38"/>
    </row>
    <row r="43" spans="1:17" ht="28.5" x14ac:dyDescent="0.45">
      <c r="A43" s="7"/>
      <c r="B43" s="137" t="s">
        <v>29</v>
      </c>
      <c r="C43" s="138"/>
      <c r="D43" s="61">
        <f>'DATOS OCULTOS'!B6</f>
        <v>0</v>
      </c>
      <c r="E43" s="80" t="e">
        <f>(D43*100/SUM(D42:D45))/100</f>
        <v>#DIV/0!</v>
      </c>
      <c r="F43" s="7"/>
      <c r="G43" s="53" t="s">
        <v>38</v>
      </c>
      <c r="H43" s="68">
        <f>'DATOS OCULTOS'!F6</f>
        <v>0</v>
      </c>
      <c r="I43" s="122" t="e">
        <f>(H43*100/SUM(H42:H43))/100</f>
        <v>#DIV/0!</v>
      </c>
      <c r="J43" s="122"/>
      <c r="K43" s="7"/>
      <c r="L43" s="7"/>
      <c r="M43" s="7"/>
      <c r="N43" s="7"/>
      <c r="O43" s="7"/>
      <c r="P43" s="7"/>
      <c r="Q43" s="38"/>
    </row>
    <row r="44" spans="1:17" ht="28.5" x14ac:dyDescent="0.45">
      <c r="A44" s="9"/>
      <c r="B44" s="137" t="s">
        <v>31</v>
      </c>
      <c r="C44" s="138"/>
      <c r="D44" s="61">
        <f>'DATOS OCULTOS'!B7</f>
        <v>0</v>
      </c>
      <c r="E44" s="80" t="e">
        <f>(D44*100/SUM(D42:D45))/100</f>
        <v>#DIV/0!</v>
      </c>
      <c r="F44" s="10"/>
      <c r="G44" s="47"/>
      <c r="H44" s="47"/>
      <c r="I44" s="7"/>
      <c r="J44" s="7"/>
      <c r="K44" s="7"/>
      <c r="L44" s="7"/>
      <c r="M44" s="7"/>
      <c r="N44" s="7"/>
      <c r="O44" s="7"/>
      <c r="P44" s="7"/>
      <c r="Q44" s="38"/>
    </row>
    <row r="45" spans="1:17" ht="28.5" x14ac:dyDescent="0.45">
      <c r="A45" s="38"/>
      <c r="B45" s="137" t="s">
        <v>33</v>
      </c>
      <c r="C45" s="138"/>
      <c r="D45" s="61">
        <f>'DATOS OCULTOS'!B8</f>
        <v>0</v>
      </c>
      <c r="E45" s="80" t="e">
        <f>(D45*100/SUM(D42:D45))/100</f>
        <v>#DIV/0!</v>
      </c>
      <c r="F45" s="38"/>
      <c r="G45" s="31"/>
      <c r="H45" s="31"/>
      <c r="I45" s="7"/>
      <c r="J45" s="7"/>
      <c r="K45" s="7"/>
      <c r="L45" s="7"/>
      <c r="M45" s="7"/>
      <c r="N45" s="7"/>
      <c r="O45" s="7"/>
      <c r="P45" s="7"/>
      <c r="Q45" s="38"/>
    </row>
    <row r="46" spans="1:17" ht="23.25" x14ac:dyDescent="0.35">
      <c r="A46" s="38"/>
      <c r="B46" s="38"/>
      <c r="C46" s="38"/>
      <c r="D46" s="38"/>
      <c r="E46" s="38"/>
      <c r="F46" s="38"/>
      <c r="G46" s="31"/>
      <c r="H46" s="31"/>
      <c r="I46" s="7"/>
      <c r="J46" s="7"/>
      <c r="K46" s="7"/>
      <c r="L46" s="7"/>
      <c r="M46" s="7"/>
      <c r="N46" s="7"/>
      <c r="O46" s="7"/>
      <c r="P46" s="7"/>
      <c r="Q46" s="38"/>
    </row>
    <row r="47" spans="1:17" x14ac:dyDescent="0.25">
      <c r="A47" s="38"/>
      <c r="B47" s="38"/>
      <c r="C47" s="38"/>
      <c r="D47" s="38"/>
      <c r="E47" s="38"/>
      <c r="F47" s="38"/>
      <c r="G47" s="38"/>
      <c r="H47" s="38"/>
      <c r="I47" s="7"/>
      <c r="J47" s="7"/>
      <c r="K47" s="7"/>
      <c r="L47" s="7"/>
      <c r="M47" s="7"/>
      <c r="N47" s="7"/>
      <c r="O47" s="7"/>
      <c r="P47" s="7"/>
      <c r="Q47" s="38"/>
    </row>
    <row r="48" spans="1:17" x14ac:dyDescent="0.25">
      <c r="A48" s="38"/>
      <c r="B48" s="38"/>
      <c r="C48" s="38"/>
      <c r="D48" s="38"/>
      <c r="E48" s="38"/>
      <c r="F48" s="38"/>
      <c r="G48" s="38"/>
      <c r="H48" s="38"/>
      <c r="I48" s="7"/>
      <c r="J48" s="7"/>
      <c r="K48" s="7"/>
      <c r="L48" s="7"/>
      <c r="M48" s="7"/>
      <c r="N48" s="7"/>
      <c r="O48" s="7"/>
      <c r="P48" s="7"/>
      <c r="Q48" s="38"/>
    </row>
    <row r="49" spans="1:17" x14ac:dyDescent="0.25">
      <c r="A49" s="38"/>
      <c r="B49" s="38"/>
      <c r="C49" s="38"/>
      <c r="D49" s="38"/>
      <c r="E49" s="38"/>
      <c r="F49" s="38"/>
      <c r="G49" s="38"/>
      <c r="H49" s="38"/>
      <c r="I49" s="7"/>
      <c r="J49" s="7"/>
      <c r="K49" s="7"/>
      <c r="L49" s="7"/>
      <c r="M49" s="7"/>
      <c r="N49" s="7"/>
      <c r="O49" s="7"/>
      <c r="P49" s="7"/>
      <c r="Q49" s="7"/>
    </row>
    <row r="50" spans="1:17" x14ac:dyDescent="0.25">
      <c r="A50" s="38"/>
      <c r="B50" s="38"/>
      <c r="C50" s="38"/>
      <c r="D50" s="38"/>
      <c r="E50" s="38"/>
      <c r="F50" s="38"/>
      <c r="G50" s="38"/>
      <c r="H50" s="38"/>
      <c r="I50" s="21"/>
      <c r="J50" s="21"/>
      <c r="K50" s="7"/>
      <c r="L50" s="7"/>
      <c r="M50" s="7"/>
      <c r="N50" s="7"/>
      <c r="O50" s="7"/>
      <c r="P50" s="7"/>
      <c r="Q50" s="7"/>
    </row>
    <row r="51" spans="1:17" ht="26.25" x14ac:dyDescent="0.25">
      <c r="A51" s="38"/>
      <c r="B51" s="38"/>
      <c r="C51" s="38"/>
      <c r="D51" s="38"/>
      <c r="E51" s="38"/>
      <c r="F51" s="38"/>
      <c r="G51" s="38"/>
      <c r="H51" s="38"/>
      <c r="I51" s="119"/>
      <c r="J51" s="119"/>
      <c r="K51" s="11"/>
      <c r="L51" s="7"/>
      <c r="M51" s="7"/>
      <c r="N51" s="7"/>
      <c r="O51" s="7"/>
      <c r="P51" s="7"/>
      <c r="Q51" s="7"/>
    </row>
    <row r="52" spans="1:17" ht="23.25" x14ac:dyDescent="0.35">
      <c r="A52" s="38"/>
      <c r="B52" s="38"/>
      <c r="C52" s="38"/>
      <c r="D52" s="38"/>
      <c r="E52" s="38"/>
      <c r="F52" s="38"/>
      <c r="G52" s="38"/>
      <c r="H52" s="38"/>
      <c r="I52" s="120"/>
      <c r="J52" s="120"/>
      <c r="K52" s="38"/>
      <c r="L52" s="38"/>
      <c r="M52" s="38"/>
      <c r="N52" s="38"/>
      <c r="O52" s="38"/>
      <c r="Q52" s="7"/>
    </row>
    <row r="53" spans="1:17" ht="32.25" customHeight="1" x14ac:dyDescent="0.35">
      <c r="A53" s="38"/>
      <c r="B53" s="38"/>
      <c r="C53" s="38"/>
      <c r="D53" s="125" t="s">
        <v>40</v>
      </c>
      <c r="E53" s="126"/>
      <c r="F53" s="73" t="s">
        <v>16</v>
      </c>
      <c r="G53" s="74" t="s">
        <v>12</v>
      </c>
      <c r="H53" s="38"/>
      <c r="I53" s="120"/>
      <c r="J53" s="120"/>
      <c r="K53" s="38"/>
      <c r="L53" s="38"/>
      <c r="M53" s="38"/>
      <c r="N53" s="38"/>
      <c r="O53" s="38"/>
      <c r="Q53" s="7"/>
    </row>
    <row r="54" spans="1:17" ht="35.25" customHeight="1" x14ac:dyDescent="0.45">
      <c r="A54" s="38"/>
      <c r="B54" s="38"/>
      <c r="C54" s="38"/>
      <c r="D54" s="107" t="s">
        <v>41</v>
      </c>
      <c r="E54" s="108"/>
      <c r="F54" s="71"/>
      <c r="G54" s="72" t="e">
        <f>(F54*100/SUM(F54:F56))/100</f>
        <v>#DIV/0!</v>
      </c>
      <c r="H54" s="38"/>
      <c r="I54" s="38"/>
      <c r="J54" s="38"/>
      <c r="K54" s="38"/>
      <c r="L54" s="38"/>
      <c r="M54" s="38"/>
      <c r="N54" s="38"/>
      <c r="O54" s="38"/>
      <c r="Q54" s="7"/>
    </row>
    <row r="55" spans="1:17" ht="36" customHeight="1" x14ac:dyDescent="0.45">
      <c r="A55" s="38"/>
      <c r="B55" s="38"/>
      <c r="C55" s="38"/>
      <c r="D55" s="107" t="s">
        <v>43</v>
      </c>
      <c r="E55" s="108"/>
      <c r="F55" s="71"/>
      <c r="G55" s="72" t="e">
        <f>(F55*100/SUM(F54:F56))/100</f>
        <v>#DIV/0!</v>
      </c>
      <c r="H55" s="38"/>
      <c r="I55" s="38"/>
      <c r="J55" s="38"/>
      <c r="K55" s="38"/>
      <c r="L55" s="38"/>
      <c r="M55" s="38"/>
      <c r="N55" s="38"/>
      <c r="O55" s="38"/>
      <c r="Q55" s="7"/>
    </row>
    <row r="56" spans="1:17" ht="36.75" customHeight="1" x14ac:dyDescent="0.45">
      <c r="A56" s="38"/>
      <c r="B56" s="38"/>
      <c r="C56" s="38"/>
      <c r="D56" s="132" t="s">
        <v>45</v>
      </c>
      <c r="E56" s="133"/>
      <c r="F56" s="71"/>
      <c r="G56" s="72" t="e">
        <f>(F56*100/SUM(F54:F56))/100</f>
        <v>#DIV/0!</v>
      </c>
      <c r="H56" s="38"/>
      <c r="I56" s="38"/>
      <c r="J56" s="38"/>
      <c r="K56" s="38"/>
      <c r="L56" s="38"/>
      <c r="M56" s="38"/>
      <c r="N56" s="38"/>
      <c r="O56" s="38"/>
      <c r="Q56" s="7"/>
    </row>
    <row r="57" spans="1:17" ht="66" customHeight="1" x14ac:dyDescent="0.2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Q57" s="7"/>
    </row>
    <row r="58" spans="1:17" x14ac:dyDescent="0.2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Q58" s="7"/>
    </row>
    <row r="59" spans="1:17" ht="35.25" customHeight="1" x14ac:dyDescent="0.2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Q59" s="7"/>
    </row>
    <row r="60" spans="1:17" ht="40.5" customHeight="1" x14ac:dyDescent="0.25">
      <c r="A60" s="38"/>
      <c r="B60" s="38"/>
      <c r="C60" s="38"/>
      <c r="D60" s="38"/>
      <c r="E60" s="121" t="s">
        <v>58</v>
      </c>
      <c r="F60" s="121"/>
      <c r="G60" s="121"/>
      <c r="H60" s="38"/>
      <c r="I60" s="38"/>
      <c r="J60" s="38"/>
      <c r="K60" s="38"/>
      <c r="L60" s="38"/>
      <c r="M60" s="38"/>
      <c r="N60" s="38"/>
      <c r="O60" s="38"/>
      <c r="Q60" s="7"/>
    </row>
    <row r="61" spans="1:17" ht="39" customHeight="1" x14ac:dyDescent="0.2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Q61" s="7"/>
    </row>
    <row r="62" spans="1:17" ht="37.5" customHeight="1" x14ac:dyDescent="0.2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Q62" s="7"/>
    </row>
    <row r="63" spans="1:17" ht="55.5" customHeight="1" x14ac:dyDescent="0.2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Q63" s="7"/>
    </row>
    <row r="64" spans="1:17" ht="43.5" customHeight="1" x14ac:dyDescent="0.25">
      <c r="A64" s="38"/>
      <c r="B64" s="109" t="s">
        <v>61</v>
      </c>
      <c r="C64" s="110"/>
      <c r="D64" s="110"/>
      <c r="E64" s="111"/>
      <c r="F64" s="38"/>
      <c r="G64" s="116" t="s">
        <v>62</v>
      </c>
      <c r="H64" s="116"/>
      <c r="I64" s="116"/>
      <c r="J64" s="38"/>
      <c r="K64" s="38"/>
      <c r="L64" s="38"/>
      <c r="M64" s="38"/>
      <c r="N64" s="38"/>
      <c r="O64" s="38"/>
      <c r="Q64" s="7"/>
    </row>
    <row r="65" spans="1:17" ht="38.25" customHeight="1" x14ac:dyDescent="0.25">
      <c r="A65" s="38"/>
      <c r="B65" s="112" t="str">
        <f>'DATOS OCULTOS'!C21</f>
        <v>12.0 - 16.0 g/dL</v>
      </c>
      <c r="C65" s="113"/>
      <c r="D65" s="112" t="str">
        <f>"Promedio: "&amp;'DATOS OCULTOS'!B21&amp;" g/dL"</f>
        <v>Promedio:  g/dL</v>
      </c>
      <c r="E65" s="113"/>
      <c r="F65" s="38"/>
      <c r="G65" s="81" t="str">
        <f>'DATOS OCULTOS'!G21</f>
        <v>36% - 48%</v>
      </c>
      <c r="H65" s="112" t="str">
        <f>"Promedio: "&amp;'DATOS OCULTOS'!F21&amp;"%"</f>
        <v>Promedio: %</v>
      </c>
      <c r="I65" s="113"/>
      <c r="J65" s="38"/>
      <c r="K65" s="38"/>
      <c r="L65" s="38"/>
      <c r="M65" s="38"/>
      <c r="N65" s="38"/>
      <c r="O65" s="38"/>
      <c r="Q65" s="7"/>
    </row>
    <row r="66" spans="1:17" ht="37.5" customHeight="1" x14ac:dyDescent="0.25">
      <c r="A66" s="50"/>
      <c r="B66" s="114" t="s">
        <v>15</v>
      </c>
      <c r="C66" s="115"/>
      <c r="D66" s="114" t="s">
        <v>59</v>
      </c>
      <c r="E66" s="115"/>
      <c r="F66" s="49"/>
      <c r="G66" s="56" t="s">
        <v>15</v>
      </c>
      <c r="H66" s="114" t="s">
        <v>59</v>
      </c>
      <c r="I66" s="115"/>
      <c r="J66" s="49"/>
      <c r="K66" s="38"/>
      <c r="L66" s="38"/>
      <c r="M66" s="38"/>
      <c r="N66" s="38"/>
      <c r="O66" s="38"/>
      <c r="Q66" s="7"/>
    </row>
    <row r="67" spans="1:17" ht="32.25" customHeight="1" x14ac:dyDescent="0.25">
      <c r="A67" s="41"/>
      <c r="B67" s="107" t="str">
        <f>'DATOS OCULTOS'!B22</f>
        <v>Formato Inválido</v>
      </c>
      <c r="C67" s="108"/>
      <c r="D67" s="107" t="str">
        <f>'DATOS OCULTOS'!C22&amp;" g/dL"</f>
        <v xml:space="preserve"> g/dL</v>
      </c>
      <c r="E67" s="108"/>
      <c r="F67" s="49"/>
      <c r="G67" s="82" t="str">
        <f>'DATOS OCULTOS'!F22</f>
        <v>Formato Inválido</v>
      </c>
      <c r="H67" s="106" t="str">
        <f>'DATOS OCULTOS'!G22&amp;"%"</f>
        <v>%</v>
      </c>
      <c r="I67" s="106"/>
      <c r="J67" s="49"/>
      <c r="K67" s="38"/>
      <c r="L67" s="38"/>
      <c r="M67" s="38"/>
      <c r="N67" s="38"/>
      <c r="O67" s="38"/>
    </row>
    <row r="68" spans="1:17" ht="40.5" customHeight="1" x14ac:dyDescent="0.25">
      <c r="A68" s="41"/>
      <c r="B68" s="117" t="str">
        <f>'DATOS OCULTOS'!B23</f>
        <v>Formato Inválido</v>
      </c>
      <c r="C68" s="118"/>
      <c r="D68" s="117" t="str">
        <f>'DATOS OCULTOS'!C23&amp;" g/dL"</f>
        <v xml:space="preserve"> g/dL</v>
      </c>
      <c r="E68" s="118"/>
      <c r="F68" s="49"/>
      <c r="G68" s="82" t="str">
        <f>'DATOS OCULTOS'!F23</f>
        <v>Formato Inválido</v>
      </c>
      <c r="H68" s="106" t="str">
        <f>'DATOS OCULTOS'!G23&amp;"%"</f>
        <v>%</v>
      </c>
      <c r="I68" s="106"/>
      <c r="J68" s="49"/>
      <c r="K68" s="38"/>
      <c r="L68" s="38"/>
      <c r="M68" s="38"/>
      <c r="N68" s="38"/>
      <c r="O68" s="38"/>
    </row>
    <row r="69" spans="1:17" ht="36.75" customHeight="1" x14ac:dyDescent="0.25">
      <c r="A69" s="50"/>
      <c r="B69" s="106" t="str">
        <f>'DATOS OCULTOS'!B24</f>
        <v>Formato Inválido</v>
      </c>
      <c r="C69" s="106"/>
      <c r="D69" s="106" t="str">
        <f>'DATOS OCULTOS'!C24&amp;" g/dL"</f>
        <v xml:space="preserve"> g/dL</v>
      </c>
      <c r="E69" s="106"/>
      <c r="F69" s="49"/>
      <c r="G69" s="82" t="str">
        <f>'DATOS OCULTOS'!F24</f>
        <v>Formato Inválido</v>
      </c>
      <c r="H69" s="106" t="str">
        <f>'DATOS OCULTOS'!G24&amp;"%"</f>
        <v>%</v>
      </c>
      <c r="I69" s="106"/>
      <c r="J69" s="49"/>
      <c r="K69" s="38"/>
      <c r="L69" s="38"/>
      <c r="M69" s="38"/>
      <c r="N69" s="38"/>
      <c r="O69" s="38"/>
    </row>
    <row r="70" spans="1:17" ht="44.25" customHeight="1" x14ac:dyDescent="0.25">
      <c r="A70" s="50"/>
      <c r="B70" s="19"/>
      <c r="C70" s="19"/>
      <c r="D70" s="8"/>
      <c r="F70" s="49"/>
      <c r="G70" s="42"/>
      <c r="H70" s="42"/>
      <c r="I70" s="42"/>
      <c r="J70" s="41"/>
      <c r="K70" s="41"/>
      <c r="L70" s="41"/>
      <c r="M70" s="38"/>
      <c r="N70" s="38"/>
      <c r="O70" s="38"/>
    </row>
    <row r="71" spans="1:17" ht="15.75" customHeight="1" x14ac:dyDescent="0.25">
      <c r="A71" s="41"/>
      <c r="B71" s="41"/>
      <c r="C71" s="42"/>
      <c r="D71" s="42"/>
      <c r="E71" s="42"/>
      <c r="F71" s="41"/>
      <c r="G71" s="41"/>
      <c r="H71" s="41"/>
      <c r="I71" s="41"/>
      <c r="J71" s="41"/>
      <c r="K71" s="41"/>
      <c r="L71" s="41"/>
      <c r="M71" s="38"/>
      <c r="N71" s="38"/>
      <c r="O71" s="38"/>
    </row>
    <row r="72" spans="1:17" x14ac:dyDescent="0.25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38"/>
      <c r="N72" s="38"/>
      <c r="O72" s="38"/>
    </row>
    <row r="73" spans="1:17" ht="17.25" customHeight="1" x14ac:dyDescent="0.25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38"/>
      <c r="N73" s="38"/>
      <c r="O73" s="38"/>
    </row>
    <row r="74" spans="1:17" ht="33.75" customHeight="1" x14ac:dyDescent="0.25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38"/>
      <c r="N74" s="38"/>
      <c r="O74" s="38"/>
    </row>
    <row r="75" spans="1:17" ht="36.75" customHeight="1" x14ac:dyDescent="0.25">
      <c r="A75" s="41"/>
      <c r="B75" s="109" t="s">
        <v>65</v>
      </c>
      <c r="C75" s="110"/>
      <c r="D75" s="110"/>
      <c r="E75" s="111"/>
      <c r="F75" s="41"/>
      <c r="G75" s="103" t="s">
        <v>67</v>
      </c>
      <c r="H75" s="103"/>
      <c r="I75" s="103"/>
      <c r="J75" s="38"/>
      <c r="K75" s="38"/>
      <c r="L75" s="38"/>
      <c r="M75" s="38"/>
      <c r="N75" s="38"/>
      <c r="O75" s="38"/>
    </row>
    <row r="76" spans="1:17" ht="37.5" customHeight="1" x14ac:dyDescent="0.25">
      <c r="A76" s="41"/>
      <c r="B76" s="112" t="str">
        <f>'DATOS OCULTOS'!K21</f>
        <v>70 - 100 mg/dL</v>
      </c>
      <c r="C76" s="113"/>
      <c r="D76" s="112" t="str">
        <f>"Promedio: "&amp;'DATOS OCULTOS'!J21&amp;" mg/dL"</f>
        <v>Promedio:  mg/dL</v>
      </c>
      <c r="E76" s="113"/>
      <c r="F76" s="41"/>
      <c r="G76" s="81" t="str">
        <f>'DATOS OCULTOS'!O21</f>
        <v>10 - 50 mg/dL</v>
      </c>
      <c r="H76" s="104" t="str">
        <f>"Promedio: "&amp;'DATOS OCULTOS'!N21&amp;" mg/dL"</f>
        <v>Promedio:  mg/dL</v>
      </c>
      <c r="I76" s="104"/>
      <c r="J76" s="38"/>
      <c r="K76" s="38"/>
      <c r="L76" s="38"/>
      <c r="M76" s="38"/>
      <c r="N76" s="38"/>
      <c r="O76" s="38"/>
    </row>
    <row r="77" spans="1:17" ht="33" customHeight="1" x14ac:dyDescent="0.25">
      <c r="A77" s="41"/>
      <c r="B77" s="114" t="s">
        <v>15</v>
      </c>
      <c r="C77" s="115"/>
      <c r="D77" s="114" t="s">
        <v>59</v>
      </c>
      <c r="E77" s="115"/>
      <c r="F77" s="41"/>
      <c r="G77" s="56" t="s">
        <v>15</v>
      </c>
      <c r="H77" s="105" t="s">
        <v>59</v>
      </c>
      <c r="I77" s="105"/>
      <c r="J77" s="38"/>
      <c r="K77" s="38"/>
      <c r="L77" s="38"/>
      <c r="M77" s="38"/>
      <c r="N77" s="38"/>
      <c r="O77" s="38"/>
    </row>
    <row r="78" spans="1:17" ht="28.5" customHeight="1" x14ac:dyDescent="0.25">
      <c r="A78" s="41"/>
      <c r="B78" s="107" t="str">
        <f>'DATOS OCULTOS'!J22</f>
        <v>Formato Inválido</v>
      </c>
      <c r="C78" s="108"/>
      <c r="D78" s="107" t="str">
        <f>'DATOS OCULTOS'!K22&amp;" mg/dL"</f>
        <v xml:space="preserve"> mg/dL</v>
      </c>
      <c r="E78" s="108"/>
      <c r="F78" s="41"/>
      <c r="G78" s="82" t="str">
        <f>'DATOS OCULTOS'!N22</f>
        <v>Formato Inválido</v>
      </c>
      <c r="H78" s="106" t="str">
        <f>'DATOS OCULTOS'!O22&amp;" mg/dL"</f>
        <v xml:space="preserve"> mg/dL</v>
      </c>
      <c r="I78" s="106"/>
      <c r="J78" s="38"/>
      <c r="K78" s="38"/>
      <c r="L78" s="38"/>
      <c r="M78" s="38"/>
      <c r="N78" s="38"/>
      <c r="O78" s="38"/>
    </row>
    <row r="79" spans="1:17" ht="36" customHeight="1" x14ac:dyDescent="0.25">
      <c r="A79" s="41"/>
      <c r="B79" s="107" t="str">
        <f>'DATOS OCULTOS'!J23</f>
        <v>Formato Inválido</v>
      </c>
      <c r="C79" s="108"/>
      <c r="D79" s="107" t="str">
        <f>'DATOS OCULTOS'!K23&amp;" mg/dL"</f>
        <v xml:space="preserve"> mg/dL</v>
      </c>
      <c r="E79" s="108"/>
      <c r="F79" s="41"/>
      <c r="G79" s="82" t="str">
        <f>'DATOS OCULTOS'!N23</f>
        <v>Formato Inválido</v>
      </c>
      <c r="H79" s="106" t="str">
        <f>'DATOS OCULTOS'!O23&amp;" mg/dL"</f>
        <v xml:space="preserve"> mg/dL</v>
      </c>
      <c r="I79" s="106"/>
      <c r="J79" s="38"/>
      <c r="K79" s="38"/>
      <c r="L79" s="38"/>
      <c r="M79" s="38"/>
      <c r="N79" s="38"/>
      <c r="O79" s="38"/>
    </row>
    <row r="80" spans="1:17" ht="33.75" customHeight="1" x14ac:dyDescent="0.25">
      <c r="A80" s="41"/>
      <c r="B80" s="107" t="str">
        <f>'DATOS OCULTOS'!J24</f>
        <v>Formato Inválido</v>
      </c>
      <c r="C80" s="108"/>
      <c r="D80" s="107" t="str">
        <f>'DATOS OCULTOS'!K24&amp;" mg/dL"</f>
        <v xml:space="preserve"> mg/dL</v>
      </c>
      <c r="E80" s="108"/>
      <c r="F80" s="41"/>
      <c r="G80" s="82" t="str">
        <f>'DATOS OCULTOS'!N24</f>
        <v>Formato Inválido</v>
      </c>
      <c r="H80" s="106" t="str">
        <f>'DATOS OCULTOS'!O24&amp;" mg/dL"</f>
        <v xml:space="preserve"> mg/dL</v>
      </c>
      <c r="I80" s="106"/>
      <c r="J80" s="38"/>
      <c r="K80" s="38"/>
      <c r="L80" s="38"/>
      <c r="M80" s="38"/>
      <c r="N80" s="38"/>
      <c r="O80" s="38"/>
    </row>
    <row r="81" spans="1:15" x14ac:dyDescent="0.25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38"/>
      <c r="N81" s="38"/>
      <c r="O81" s="38"/>
    </row>
    <row r="82" spans="1:15" ht="54.75" customHeight="1" x14ac:dyDescent="0.25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38"/>
      <c r="N82" s="38"/>
      <c r="O82" s="38"/>
    </row>
    <row r="83" spans="1:15" x14ac:dyDescent="0.25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38"/>
      <c r="N83" s="38"/>
      <c r="O83" s="38"/>
    </row>
    <row r="84" spans="1:15" x14ac:dyDescent="0.25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38"/>
      <c r="N84" s="38"/>
      <c r="O84" s="38"/>
    </row>
    <row r="85" spans="1:15" ht="44.25" customHeight="1" x14ac:dyDescent="0.25">
      <c r="A85" s="41"/>
      <c r="B85" s="109" t="s">
        <v>68</v>
      </c>
      <c r="C85" s="110"/>
      <c r="D85" s="110"/>
      <c r="E85" s="111"/>
      <c r="F85" s="41"/>
      <c r="G85" s="116" t="s">
        <v>72</v>
      </c>
      <c r="H85" s="116"/>
      <c r="I85" s="116"/>
      <c r="J85" s="41"/>
      <c r="K85" s="41"/>
      <c r="L85" s="41"/>
      <c r="M85" s="38"/>
      <c r="N85" s="38"/>
      <c r="O85" s="38"/>
    </row>
    <row r="86" spans="1:15" ht="35.25" customHeight="1" x14ac:dyDescent="0.25">
      <c r="A86" s="41"/>
      <c r="B86" s="112" t="str">
        <f>'DATOS OCULTOS'!S21</f>
        <v xml:space="preserve"> 0.6 - 1.2 mg/dL</v>
      </c>
      <c r="C86" s="113"/>
      <c r="D86" s="112" t="str">
        <f>"Promedio: "&amp;'DATOS OCULTOS'!R21&amp;" mg/dL"</f>
        <v>Promedio:  mg/dL</v>
      </c>
      <c r="E86" s="113"/>
      <c r="F86" s="41"/>
      <c r="G86" s="81" t="str">
        <f>'DATOS OCULTOS'!W21</f>
        <v>3.4 - 5.4 g/dL</v>
      </c>
      <c r="H86" s="104" t="str">
        <f>"Promedio: "&amp;'DATOS OCULTOS'!V21&amp;" g/dL"</f>
        <v>Promedio:  g/dL</v>
      </c>
      <c r="I86" s="104"/>
      <c r="J86" s="41"/>
      <c r="K86" s="41"/>
      <c r="L86" s="41"/>
      <c r="M86" s="38"/>
      <c r="N86" s="38"/>
      <c r="O86" s="38"/>
    </row>
    <row r="87" spans="1:15" ht="33.75" customHeight="1" x14ac:dyDescent="0.25">
      <c r="A87" s="48"/>
      <c r="B87" s="114" t="s">
        <v>15</v>
      </c>
      <c r="C87" s="115"/>
      <c r="D87" s="114" t="s">
        <v>59</v>
      </c>
      <c r="E87" s="115"/>
      <c r="F87" s="48"/>
      <c r="G87" s="56" t="s">
        <v>15</v>
      </c>
      <c r="H87" s="105" t="s">
        <v>59</v>
      </c>
      <c r="I87" s="105"/>
      <c r="J87" s="48"/>
      <c r="K87" s="48"/>
      <c r="L87" s="48"/>
      <c r="M87" s="38"/>
      <c r="N87" s="38"/>
      <c r="O87" s="38"/>
    </row>
    <row r="88" spans="1:15" ht="33" customHeight="1" x14ac:dyDescent="0.25">
      <c r="A88" s="41"/>
      <c r="B88" s="107" t="str">
        <f>'DATOS OCULTOS'!R22</f>
        <v>Formato Inválido</v>
      </c>
      <c r="C88" s="108"/>
      <c r="D88" s="107" t="str">
        <f>'DATOS OCULTOS'!S22&amp;" mg/dL"</f>
        <v xml:space="preserve"> mg/dL</v>
      </c>
      <c r="E88" s="108"/>
      <c r="F88" s="41"/>
      <c r="G88" s="82" t="str">
        <f>'DATOS OCULTOS'!V22</f>
        <v>Formato Inválido</v>
      </c>
      <c r="H88" s="106" t="str">
        <f>'DATOS OCULTOS'!W22&amp;" g/dL"</f>
        <v xml:space="preserve"> g/dL</v>
      </c>
      <c r="I88" s="106"/>
      <c r="J88" s="41"/>
      <c r="K88" s="41"/>
      <c r="L88" s="41"/>
      <c r="M88" s="38"/>
      <c r="N88" s="38"/>
      <c r="O88" s="38"/>
    </row>
    <row r="89" spans="1:15" ht="26.25" customHeight="1" x14ac:dyDescent="0.25">
      <c r="A89" s="41"/>
      <c r="B89" s="107" t="str">
        <f>'DATOS OCULTOS'!R23</f>
        <v>Formato Inválido</v>
      </c>
      <c r="C89" s="108"/>
      <c r="D89" s="107" t="str">
        <f>'DATOS OCULTOS'!S23&amp;" mg/dL"</f>
        <v xml:space="preserve"> mg/dL</v>
      </c>
      <c r="E89" s="108"/>
      <c r="F89" s="41"/>
      <c r="G89" s="82" t="str">
        <f>'DATOS OCULTOS'!V23</f>
        <v>Formato Inválido</v>
      </c>
      <c r="H89" s="106" t="str">
        <f>'DATOS OCULTOS'!W23&amp;" g/dL"</f>
        <v xml:space="preserve"> g/dL</v>
      </c>
      <c r="I89" s="106"/>
      <c r="J89" s="41"/>
      <c r="K89" s="41"/>
      <c r="L89" s="41"/>
      <c r="M89" s="38"/>
      <c r="N89" s="38"/>
      <c r="O89" s="38"/>
    </row>
    <row r="90" spans="1:15" ht="33" customHeight="1" x14ac:dyDescent="0.25">
      <c r="A90" s="41"/>
      <c r="B90" s="107" t="str">
        <f>'DATOS OCULTOS'!R24</f>
        <v>Formato Inválido</v>
      </c>
      <c r="C90" s="108"/>
      <c r="D90" s="107" t="str">
        <f>'DATOS OCULTOS'!S24&amp;" mg/dL"</f>
        <v xml:space="preserve"> mg/dL</v>
      </c>
      <c r="E90" s="108"/>
      <c r="F90" s="41"/>
      <c r="G90" s="82" t="str">
        <f>'DATOS OCULTOS'!V24</f>
        <v>Formato Inválido</v>
      </c>
      <c r="H90" s="106" t="str">
        <f>'DATOS OCULTOS'!W24&amp;" g/dL"</f>
        <v xml:space="preserve"> g/dL</v>
      </c>
      <c r="I90" s="106"/>
      <c r="J90" s="41"/>
      <c r="K90" s="41"/>
      <c r="L90" s="41"/>
      <c r="M90" s="38"/>
      <c r="N90" s="38"/>
      <c r="O90" s="38"/>
    </row>
    <row r="91" spans="1:15" ht="24.75" customHeight="1" x14ac:dyDescent="0.25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38"/>
      <c r="N91" s="38"/>
      <c r="O91" s="38"/>
    </row>
    <row r="92" spans="1:15" x14ac:dyDescent="0.25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38"/>
      <c r="N92" s="38"/>
      <c r="O92" s="38"/>
    </row>
    <row r="93" spans="1:15" x14ac:dyDescent="0.25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38"/>
      <c r="N93" s="38"/>
      <c r="O93" s="38"/>
    </row>
    <row r="94" spans="1:15" x14ac:dyDescent="0.25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38"/>
      <c r="N94" s="38"/>
      <c r="O94" s="38"/>
    </row>
    <row r="95" spans="1:15" ht="40.5" customHeight="1" x14ac:dyDescent="0.25">
      <c r="A95" s="41"/>
      <c r="B95" s="109" t="s">
        <v>74</v>
      </c>
      <c r="C95" s="110"/>
      <c r="D95" s="110"/>
      <c r="E95" s="111"/>
      <c r="F95" s="41"/>
      <c r="G95" s="103" t="s">
        <v>77</v>
      </c>
      <c r="H95" s="103"/>
      <c r="I95" s="103"/>
      <c r="J95" s="41"/>
      <c r="K95" s="41"/>
      <c r="L95" s="41"/>
      <c r="M95" s="38"/>
      <c r="N95" s="38"/>
      <c r="O95" s="38"/>
    </row>
    <row r="96" spans="1:15" ht="31.5" customHeight="1" x14ac:dyDescent="0.25">
      <c r="A96" s="41"/>
      <c r="B96" s="112" t="str">
        <f>'DATOS OCULTOS'!AA21</f>
        <v>8.5 - 10.5 mg/dL</v>
      </c>
      <c r="C96" s="113"/>
      <c r="D96" s="112" t="str">
        <f>"Promedio: "&amp;'DATOS OCULTOS'!Z21&amp;" mg/dL"</f>
        <v>Promedio:  mg/dL</v>
      </c>
      <c r="E96" s="113"/>
      <c r="F96" s="41"/>
      <c r="G96" s="81" t="str">
        <f>'DATOS OCULTOS'!AE21</f>
        <v>2.5 - 4.5 mg/dL</v>
      </c>
      <c r="H96" s="104" t="str">
        <f>"Promedio: "&amp;'DATOS OCULTOS'!AD21&amp;" mg/dL"</f>
        <v>Promedio:  mg/dL</v>
      </c>
      <c r="I96" s="104"/>
      <c r="J96" s="41"/>
      <c r="K96" s="41"/>
      <c r="L96" s="41"/>
      <c r="M96" s="38"/>
      <c r="N96" s="38"/>
      <c r="O96" s="38"/>
    </row>
    <row r="97" spans="1:15" ht="31.5" customHeight="1" x14ac:dyDescent="0.25">
      <c r="A97" s="41"/>
      <c r="B97" s="114" t="s">
        <v>15</v>
      </c>
      <c r="C97" s="115"/>
      <c r="D97" s="114" t="s">
        <v>59</v>
      </c>
      <c r="E97" s="115"/>
      <c r="F97" s="41"/>
      <c r="G97" s="56" t="s">
        <v>15</v>
      </c>
      <c r="H97" s="105" t="s">
        <v>59</v>
      </c>
      <c r="I97" s="105"/>
      <c r="J97" s="41"/>
      <c r="K97" s="41"/>
      <c r="L97" s="41"/>
      <c r="M97" s="38"/>
      <c r="N97" s="38"/>
      <c r="O97" s="38"/>
    </row>
    <row r="98" spans="1:15" ht="32.25" customHeight="1" x14ac:dyDescent="0.25">
      <c r="A98" s="41"/>
      <c r="B98" s="107" t="str">
        <f>'DATOS OCULTOS'!Z22</f>
        <v>Formato Inválido</v>
      </c>
      <c r="C98" s="108"/>
      <c r="D98" s="107" t="str">
        <f>'DATOS OCULTOS'!AA22&amp;" mg/dL"</f>
        <v xml:space="preserve"> mg/dL</v>
      </c>
      <c r="E98" s="108"/>
      <c r="F98" s="41"/>
      <c r="G98" s="82" t="str">
        <f>'DATOS OCULTOS'!AD22</f>
        <v>Formato Inválido</v>
      </c>
      <c r="H98" s="106" t="str">
        <f>'DATOS OCULTOS'!AE22&amp;" mg/dL"</f>
        <v xml:space="preserve"> mg/dL</v>
      </c>
      <c r="I98" s="106"/>
      <c r="J98" s="41"/>
      <c r="K98" s="41"/>
      <c r="L98" s="41"/>
      <c r="M98" s="38"/>
      <c r="N98" s="38"/>
      <c r="O98" s="38"/>
    </row>
    <row r="99" spans="1:15" ht="33" customHeight="1" x14ac:dyDescent="0.25">
      <c r="A99" s="41"/>
      <c r="B99" s="107" t="str">
        <f>'DATOS OCULTOS'!Z23</f>
        <v>Formato Inválido</v>
      </c>
      <c r="C99" s="108"/>
      <c r="D99" s="107" t="str">
        <f>'DATOS OCULTOS'!AA23&amp;" mg/dL"</f>
        <v xml:space="preserve"> mg/dL</v>
      </c>
      <c r="E99" s="108"/>
      <c r="F99" s="41"/>
      <c r="G99" s="82" t="str">
        <f>'DATOS OCULTOS'!AD23</f>
        <v>Formato Inválido</v>
      </c>
      <c r="H99" s="106" t="str">
        <f>'DATOS OCULTOS'!AE23&amp;" mg/dL"</f>
        <v xml:space="preserve"> mg/dL</v>
      </c>
      <c r="I99" s="106"/>
      <c r="J99" s="41"/>
      <c r="K99" s="41"/>
      <c r="L99" s="41"/>
      <c r="M99" s="38"/>
      <c r="N99" s="38"/>
      <c r="O99" s="38"/>
    </row>
    <row r="100" spans="1:15" ht="30.75" customHeight="1" x14ac:dyDescent="0.25">
      <c r="A100" s="41"/>
      <c r="B100" s="107" t="str">
        <f>'DATOS OCULTOS'!Z24</f>
        <v>Formato Inválido</v>
      </c>
      <c r="C100" s="108"/>
      <c r="D100" s="107" t="str">
        <f>'DATOS OCULTOS'!AA24&amp;" mg/dL"</f>
        <v xml:space="preserve"> mg/dL</v>
      </c>
      <c r="E100" s="108"/>
      <c r="F100" s="41"/>
      <c r="G100" s="82" t="str">
        <f>'DATOS OCULTOS'!AD24</f>
        <v>Formato Inválido</v>
      </c>
      <c r="H100" s="106" t="str">
        <f>'DATOS OCULTOS'!AE24&amp;" mg/dL"</f>
        <v xml:space="preserve"> mg/dL</v>
      </c>
      <c r="I100" s="106"/>
      <c r="J100" s="41"/>
      <c r="K100" s="41"/>
      <c r="L100" s="41"/>
      <c r="M100" s="38"/>
      <c r="N100" s="38"/>
      <c r="O100" s="38"/>
    </row>
    <row r="101" spans="1:15" x14ac:dyDescent="0.25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50"/>
      <c r="M101" s="7"/>
      <c r="N101" s="7"/>
      <c r="O101" s="7"/>
    </row>
    <row r="102" spans="1:15" x14ac:dyDescent="0.25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50"/>
      <c r="M102" s="7"/>
      <c r="N102" s="7"/>
      <c r="O102" s="7"/>
    </row>
    <row r="103" spans="1:15" x14ac:dyDescent="0.25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50"/>
      <c r="M103" s="7"/>
      <c r="N103" s="7"/>
      <c r="O103" s="7"/>
    </row>
    <row r="104" spans="1:15" x14ac:dyDescent="0.25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50"/>
      <c r="M104" s="7"/>
      <c r="N104" s="7"/>
      <c r="O104" s="7"/>
    </row>
    <row r="105" spans="1:15" x14ac:dyDescent="0.2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50"/>
      <c r="M105" s="7"/>
      <c r="N105" s="7"/>
      <c r="O105" s="7"/>
    </row>
    <row r="106" spans="1:15" x14ac:dyDescent="0.25">
      <c r="M106" s="21"/>
      <c r="N106" s="7"/>
      <c r="O106" s="7"/>
    </row>
    <row r="107" spans="1:15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 spans="1:15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spans="1:15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spans="1:15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spans="1:15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</row>
    <row r="112" spans="1:15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spans="1:15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 spans="1:15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 spans="1:15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 spans="1:15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spans="1:15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 spans="1:15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spans="1:15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spans="1:15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</sheetData>
  <mergeCells count="118">
    <mergeCell ref="B11:E11"/>
    <mergeCell ref="D12:E12"/>
    <mergeCell ref="D13:E13"/>
    <mergeCell ref="E15:G15"/>
    <mergeCell ref="B18:C18"/>
    <mergeCell ref="B19:C19"/>
    <mergeCell ref="B20:C20"/>
    <mergeCell ref="B21:C21"/>
    <mergeCell ref="B42:C42"/>
    <mergeCell ref="E16:F16"/>
    <mergeCell ref="E22:F22"/>
    <mergeCell ref="A1:K1"/>
    <mergeCell ref="B7:C7"/>
    <mergeCell ref="B8:C8"/>
    <mergeCell ref="B9:C9"/>
    <mergeCell ref="A3:D5"/>
    <mergeCell ref="E5:F5"/>
    <mergeCell ref="E3:G3"/>
    <mergeCell ref="E2:G2"/>
    <mergeCell ref="B24:C24"/>
    <mergeCell ref="B17:D17"/>
    <mergeCell ref="B16:D16"/>
    <mergeCell ref="F17:G17"/>
    <mergeCell ref="E60:G60"/>
    <mergeCell ref="D53:E53"/>
    <mergeCell ref="D54:E54"/>
    <mergeCell ref="D55:E55"/>
    <mergeCell ref="D56:E56"/>
    <mergeCell ref="B41:C41"/>
    <mergeCell ref="B28:D28"/>
    <mergeCell ref="B27:D27"/>
    <mergeCell ref="B26:D26"/>
    <mergeCell ref="B25:D25"/>
    <mergeCell ref="B44:C44"/>
    <mergeCell ref="B45:C45"/>
    <mergeCell ref="B43:C43"/>
    <mergeCell ref="I51:J51"/>
    <mergeCell ref="I52:J52"/>
    <mergeCell ref="I53:J53"/>
    <mergeCell ref="E34:G34"/>
    <mergeCell ref="I42:J42"/>
    <mergeCell ref="I43:J43"/>
    <mergeCell ref="I18:J18"/>
    <mergeCell ref="I19:J19"/>
    <mergeCell ref="I20:J20"/>
    <mergeCell ref="I25:J25"/>
    <mergeCell ref="I26:J26"/>
    <mergeCell ref="I27:J27"/>
    <mergeCell ref="I41:J41"/>
    <mergeCell ref="I28:J28"/>
    <mergeCell ref="H77:I77"/>
    <mergeCell ref="H78:I78"/>
    <mergeCell ref="H65:I65"/>
    <mergeCell ref="B80:C80"/>
    <mergeCell ref="D80:E80"/>
    <mergeCell ref="B77:C77"/>
    <mergeCell ref="D77:E77"/>
    <mergeCell ref="B78:C78"/>
    <mergeCell ref="D78:E78"/>
    <mergeCell ref="B79:C79"/>
    <mergeCell ref="D79:E79"/>
    <mergeCell ref="B75:E75"/>
    <mergeCell ref="B76:C76"/>
    <mergeCell ref="D76:E76"/>
    <mergeCell ref="H76:I76"/>
    <mergeCell ref="D68:E68"/>
    <mergeCell ref="H79:I79"/>
    <mergeCell ref="H80:I80"/>
    <mergeCell ref="G64:I64"/>
    <mergeCell ref="H66:I66"/>
    <mergeCell ref="H67:I67"/>
    <mergeCell ref="H68:I68"/>
    <mergeCell ref="H69:I69"/>
    <mergeCell ref="G75:I75"/>
    <mergeCell ref="D66:E66"/>
    <mergeCell ref="D65:E65"/>
    <mergeCell ref="D67:E67"/>
    <mergeCell ref="B64:E64"/>
    <mergeCell ref="B65:C65"/>
    <mergeCell ref="D69:E69"/>
    <mergeCell ref="B66:C66"/>
    <mergeCell ref="B68:C68"/>
    <mergeCell ref="B69:C69"/>
    <mergeCell ref="B67:C67"/>
    <mergeCell ref="B90:C90"/>
    <mergeCell ref="D90:E90"/>
    <mergeCell ref="G85:I85"/>
    <mergeCell ref="H86:I86"/>
    <mergeCell ref="H87:I87"/>
    <mergeCell ref="H88:I88"/>
    <mergeCell ref="H89:I89"/>
    <mergeCell ref="H90:I90"/>
    <mergeCell ref="B87:C87"/>
    <mergeCell ref="D87:E87"/>
    <mergeCell ref="B88:C88"/>
    <mergeCell ref="D88:E88"/>
    <mergeCell ref="B89:C89"/>
    <mergeCell ref="D89:E89"/>
    <mergeCell ref="B85:E85"/>
    <mergeCell ref="B86:C86"/>
    <mergeCell ref="D86:E86"/>
    <mergeCell ref="G95:I95"/>
    <mergeCell ref="H96:I96"/>
    <mergeCell ref="H97:I97"/>
    <mergeCell ref="H98:I98"/>
    <mergeCell ref="H99:I99"/>
    <mergeCell ref="H100:I100"/>
    <mergeCell ref="B100:C100"/>
    <mergeCell ref="D100:E100"/>
    <mergeCell ref="B95:E95"/>
    <mergeCell ref="B96:C96"/>
    <mergeCell ref="D96:E96"/>
    <mergeCell ref="B97:C97"/>
    <mergeCell ref="D97:E97"/>
    <mergeCell ref="B98:C98"/>
    <mergeCell ref="D98:E98"/>
    <mergeCell ref="B99:C99"/>
    <mergeCell ref="D99:E99"/>
  </mergeCells>
  <phoneticPr fontId="10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4"/>
  <sheetViews>
    <sheetView workbookViewId="0">
      <selection activeCell="C16" sqref="C16"/>
    </sheetView>
  </sheetViews>
  <sheetFormatPr baseColWidth="10" defaultColWidth="9.140625" defaultRowHeight="15" x14ac:dyDescent="0.25"/>
  <cols>
    <col min="1" max="6" width="20.7109375" customWidth="1"/>
    <col min="7" max="7" width="16.5703125" customWidth="1"/>
    <col min="9" max="9" width="13.7109375" customWidth="1"/>
    <col min="10" max="10" width="17.85546875" customWidth="1"/>
    <col min="11" max="11" width="14.85546875" customWidth="1"/>
    <col min="14" max="14" width="18.28515625" customWidth="1"/>
    <col min="15" max="15" width="16.42578125" customWidth="1"/>
    <col min="17" max="17" width="12" customWidth="1"/>
    <col min="18" max="18" width="16.42578125" customWidth="1"/>
    <col min="19" max="19" width="15.5703125" customWidth="1"/>
    <col min="21" max="21" width="11.42578125" customWidth="1"/>
    <col min="22" max="22" width="17.85546875" customWidth="1"/>
    <col min="23" max="23" width="12.5703125" customWidth="1"/>
    <col min="24" max="24" width="14.42578125" customWidth="1"/>
    <col min="26" max="26" width="15.85546875" customWidth="1"/>
    <col min="27" max="27" width="15.42578125" customWidth="1"/>
    <col min="29" max="29" width="11.7109375" customWidth="1"/>
    <col min="30" max="30" width="18.140625" customWidth="1"/>
    <col min="31" max="31" width="14.85546875" customWidth="1"/>
  </cols>
  <sheetData>
    <row r="1" spans="1:11" ht="23.25" x14ac:dyDescent="0.35">
      <c r="A1" s="1" t="s">
        <v>24</v>
      </c>
      <c r="I1" s="156" t="s">
        <v>15</v>
      </c>
      <c r="J1" s="156"/>
      <c r="K1" s="22" t="s">
        <v>79</v>
      </c>
    </row>
    <row r="2" spans="1:11" ht="23.25" x14ac:dyDescent="0.35">
      <c r="I2" s="155"/>
      <c r="J2" s="155"/>
      <c r="K2" s="18"/>
    </row>
    <row r="3" spans="1:11" ht="23.25" x14ac:dyDescent="0.35">
      <c r="A3" s="4" t="s">
        <v>25</v>
      </c>
      <c r="E3" s="4" t="s">
        <v>34</v>
      </c>
      <c r="I3" s="155"/>
      <c r="J3" s="155"/>
      <c r="K3" s="18"/>
    </row>
    <row r="4" spans="1:11" ht="23.25" x14ac:dyDescent="0.35">
      <c r="A4" s="2" t="s">
        <v>26</v>
      </c>
      <c r="B4" s="2" t="s">
        <v>16</v>
      </c>
      <c r="C4" s="2" t="s">
        <v>12</v>
      </c>
      <c r="E4" s="2" t="s">
        <v>35</v>
      </c>
      <c r="F4" s="2" t="s">
        <v>16</v>
      </c>
      <c r="G4" s="2" t="s">
        <v>12</v>
      </c>
      <c r="I4" s="155"/>
      <c r="J4" s="155"/>
      <c r="K4" s="18"/>
    </row>
    <row r="5" spans="1:11" x14ac:dyDescent="0.25">
      <c r="A5" s="3" t="s">
        <v>27</v>
      </c>
      <c r="B5" s="3"/>
      <c r="C5" s="3" t="s">
        <v>28</v>
      </c>
      <c r="E5" s="3" t="s">
        <v>36</v>
      </c>
      <c r="F5" s="3"/>
      <c r="G5" s="3" t="s">
        <v>37</v>
      </c>
    </row>
    <row r="6" spans="1:11" x14ac:dyDescent="0.25">
      <c r="A6" s="3" t="s">
        <v>29</v>
      </c>
      <c r="B6" s="3"/>
      <c r="C6" s="3" t="s">
        <v>30</v>
      </c>
      <c r="E6" s="3" t="s">
        <v>38</v>
      </c>
      <c r="F6" s="3"/>
      <c r="G6" s="3" t="s">
        <v>39</v>
      </c>
    </row>
    <row r="7" spans="1:11" x14ac:dyDescent="0.25">
      <c r="A7" s="3" t="s">
        <v>31</v>
      </c>
      <c r="B7" s="3"/>
      <c r="C7" s="3" t="s">
        <v>32</v>
      </c>
    </row>
    <row r="8" spans="1:11" x14ac:dyDescent="0.25">
      <c r="A8" s="3" t="s">
        <v>33</v>
      </c>
      <c r="B8" s="3"/>
      <c r="C8" s="3" t="s">
        <v>28</v>
      </c>
    </row>
    <row r="10" spans="1:11" x14ac:dyDescent="0.25">
      <c r="A10" s="2" t="s">
        <v>40</v>
      </c>
      <c r="B10" s="2" t="s">
        <v>12</v>
      </c>
      <c r="C10" s="2" t="s">
        <v>16</v>
      </c>
    </row>
    <row r="11" spans="1:11" x14ac:dyDescent="0.25">
      <c r="A11" s="3" t="s">
        <v>41</v>
      </c>
      <c r="B11" s="3" t="s">
        <v>42</v>
      </c>
      <c r="C11" s="3"/>
    </row>
    <row r="12" spans="1:11" x14ac:dyDescent="0.25">
      <c r="A12" s="3" t="s">
        <v>43</v>
      </c>
      <c r="B12" s="3" t="s">
        <v>44</v>
      </c>
      <c r="C12" s="3"/>
    </row>
    <row r="13" spans="1:11" x14ac:dyDescent="0.25">
      <c r="A13" s="3" t="s">
        <v>45</v>
      </c>
      <c r="B13" s="3" t="s">
        <v>46</v>
      </c>
      <c r="C13" s="3"/>
    </row>
    <row r="15" spans="1:11" ht="26.25" x14ac:dyDescent="0.4">
      <c r="A15" s="157" t="s">
        <v>56</v>
      </c>
      <c r="B15" s="157"/>
      <c r="C15" s="43" t="s">
        <v>16</v>
      </c>
    </row>
    <row r="16" spans="1:11" ht="23.25" x14ac:dyDescent="0.35">
      <c r="A16" s="155" t="s">
        <v>18</v>
      </c>
      <c r="B16" s="155"/>
      <c r="C16" s="39"/>
    </row>
    <row r="17" spans="1:31" ht="23.25" x14ac:dyDescent="0.35">
      <c r="A17" s="155" t="s">
        <v>14</v>
      </c>
      <c r="B17" s="155"/>
      <c r="C17" s="40"/>
    </row>
    <row r="18" spans="1:31" ht="23.25" x14ac:dyDescent="0.35">
      <c r="A18" s="155" t="s">
        <v>55</v>
      </c>
      <c r="B18" s="155"/>
      <c r="C18" s="18"/>
    </row>
    <row r="21" spans="1:31" x14ac:dyDescent="0.25">
      <c r="A21" t="s">
        <v>47</v>
      </c>
      <c r="C21" t="s">
        <v>60</v>
      </c>
      <c r="E21" s="51" t="s">
        <v>48</v>
      </c>
      <c r="G21" t="s">
        <v>63</v>
      </c>
      <c r="I21" t="s">
        <v>49</v>
      </c>
      <c r="K21" t="s">
        <v>64</v>
      </c>
      <c r="M21" t="s">
        <v>50</v>
      </c>
      <c r="O21" s="52" t="s">
        <v>66</v>
      </c>
      <c r="Q21" t="s">
        <v>51</v>
      </c>
      <c r="R21" s="52"/>
      <c r="S21" t="s">
        <v>69</v>
      </c>
      <c r="U21" t="s">
        <v>70</v>
      </c>
      <c r="V21" s="52"/>
      <c r="W21" t="s">
        <v>71</v>
      </c>
      <c r="Y21" t="s">
        <v>52</v>
      </c>
      <c r="Z21" s="52"/>
      <c r="AA21" t="s">
        <v>73</v>
      </c>
      <c r="AC21" t="s">
        <v>75</v>
      </c>
      <c r="AE21" t="s">
        <v>76</v>
      </c>
    </row>
    <row r="22" spans="1:31" x14ac:dyDescent="0.25">
      <c r="A22" s="51"/>
      <c r="B22" t="str">
        <f>PROPER(IF(OR(A22="",ISERROR(DATE(LEFT(A22,4),RIGHT(A22,2),1))),"Formato inválido",TEXT(DATE(LEFT(A22,4),RIGHT(A22,2),1),"mmmm")&amp;" "&amp;LEFT(A22,4)))</f>
        <v>Formato Inválido</v>
      </c>
      <c r="E22" s="51"/>
      <c r="F22" t="str">
        <f>PROPER(IF(OR(E22="",ISERROR(DATE(LEFT(E22,4),RIGHT(E22,2),1))),"Formato inválido",TEXT(DATE(LEFT(E22,4),RIGHT(E22,2),1),"mmmm")&amp;" "&amp;LEFT(E22,4)))</f>
        <v>Formato Inválido</v>
      </c>
      <c r="I22" s="51"/>
      <c r="J22" t="str">
        <f>PROPER(IF(OR(I22="",ISERROR(DATE(LEFT(I22,4),RIGHT(I22,2),1))),"Formato inválido",TEXT(DATE(LEFT(I22,4),RIGHT(I22,2),1),"mmmm")&amp;" "&amp;LEFT(I22,4)))</f>
        <v>Formato Inválido</v>
      </c>
      <c r="N22" t="str">
        <f>PROPER(IF(OR(M22="",ISERROR(DATE(LEFT(M22,4),RIGHT(M22,2),1))),"Formato inválido",TEXT(DATE(LEFT(M22,4),RIGHT(M22,2),1),"mmmm")&amp;" "&amp;LEFT(M22,4)))</f>
        <v>Formato Inválido</v>
      </c>
      <c r="Q22" s="51"/>
      <c r="R22" t="str">
        <f>PROPER(IF(OR(Q22="",ISERROR(DATE(LEFT(Q22,4),RIGHT(Q22,2),1))),"Formato inválido",TEXT(DATE(LEFT(Q22,4),RIGHT(Q22,2),1),"mmmm")&amp;" "&amp;LEFT(Q22,4)))</f>
        <v>Formato Inválido</v>
      </c>
      <c r="S22" s="52"/>
      <c r="U22" s="51"/>
      <c r="V22" t="str">
        <f>PROPER(IF(OR(U22="",ISERROR(DATE(LEFT(U22,4),RIGHT(U22,2),1))),"Formato inválido",TEXT(DATE(LEFT(U22,4),RIGHT(U22,2),1),"mmmm")&amp;" "&amp;LEFT(U22,4)))</f>
        <v>Formato Inválido</v>
      </c>
      <c r="Z22" t="str">
        <f>PROPER(IF(OR(Y22="",ISERROR(DATE(LEFT(Y22,4),RIGHT(Y22,2),1))),"Formato inválido",TEXT(DATE(LEFT(Y22,4),RIGHT(Y22,2),1),"mmmm")&amp;" "&amp;LEFT(Y22,4)))</f>
        <v>Formato Inválido</v>
      </c>
      <c r="AD22" t="str">
        <f>PROPER(IF(OR(AC22="",ISERROR(DATE(LEFT(AC22,4),RIGHT(AC22,2),1))),"Formato inválido",TEXT(DATE(LEFT(AC22,4),RIGHT(AC22,2),1),"mmmm")&amp;" "&amp;LEFT(AC22,4)))</f>
        <v>Formato Inválido</v>
      </c>
    </row>
    <row r="23" spans="1:31" x14ac:dyDescent="0.25">
      <c r="A23" s="51"/>
      <c r="B23" t="str">
        <f t="shared" ref="B23:B24" si="0">PROPER(IF(OR(A23="",ISERROR(DATE(LEFT(A23,4),RIGHT(A23,2),1))),"Formato inválido",TEXT(DATE(LEFT(A23,4),RIGHT(A23,2),1),"mmmm")&amp;" "&amp;LEFT(A23,4)))</f>
        <v>Formato Inválido</v>
      </c>
      <c r="C23" s="52"/>
      <c r="E23" s="51"/>
      <c r="F23" t="str">
        <f>PROPER(IF(OR(E23="",ISERROR(DATE(LEFT(E23,4),RIGHT(E23,2),1))),"Formato inválido",TEXT(DATE(LEFT(E23,4),RIGHT(E23,2),1),"mmmm")&amp;" "&amp;LEFT(E23,4)))</f>
        <v>Formato Inválido</v>
      </c>
      <c r="I23" s="51"/>
      <c r="J23" t="str">
        <f t="shared" ref="J23:J24" si="1">PROPER(IF(OR(I23="",ISERROR(DATE(LEFT(I23,4),RIGHT(I23,2),1))),"Formato inválido",TEXT(DATE(LEFT(I23,4),RIGHT(I23,2),1),"mmmm")&amp;" "&amp;LEFT(I23,4)))</f>
        <v>Formato Inválido</v>
      </c>
      <c r="K23" s="52"/>
      <c r="N23" t="str">
        <f t="shared" ref="N23:N24" si="2">PROPER(IF(OR(M23="",ISERROR(DATE(LEFT(M23,4),RIGHT(M23,2),1))),"Formato inválido",TEXT(DATE(LEFT(M23,4),RIGHT(M23,2),1),"mmmm")&amp;" "&amp;LEFT(M23,4)))</f>
        <v>Formato Inválido</v>
      </c>
      <c r="Q23" s="51"/>
      <c r="R23" t="str">
        <f t="shared" ref="R23:R24" si="3">PROPER(IF(OR(Q23="",ISERROR(DATE(LEFT(Q23,4),RIGHT(Q23,2),1))),"Formato inválido",TEXT(DATE(LEFT(Q23,4),RIGHT(Q23,2),1),"mmmm")&amp;" "&amp;LEFT(Q23,4)))</f>
        <v>Formato Inválido</v>
      </c>
      <c r="S23" s="52"/>
      <c r="U23" s="51"/>
      <c r="V23" t="str">
        <f t="shared" ref="V23:V24" si="4">PROPER(IF(OR(U23="",ISERROR(DATE(LEFT(U23,4),RIGHT(U23,2),1))),"Formato inválido",TEXT(DATE(LEFT(U23,4),RIGHT(U23,2),1),"mmmm")&amp;" "&amp;LEFT(U23,4)))</f>
        <v>Formato Inválido</v>
      </c>
      <c r="W23" s="52"/>
      <c r="Z23" t="str">
        <f t="shared" ref="Z23:Z24" si="5">PROPER(IF(OR(Y23="",ISERROR(DATE(LEFT(Y23,4),RIGHT(Y23,2),1))),"Formato inválido",TEXT(DATE(LEFT(Y23,4),RIGHT(Y23,2),1),"mmmm")&amp;" "&amp;LEFT(Y23,4)))</f>
        <v>Formato Inválido</v>
      </c>
      <c r="AD23" t="str">
        <f t="shared" ref="AD23:AD24" si="6">PROPER(IF(OR(AC23="",ISERROR(DATE(LEFT(AC23,4),RIGHT(AC23,2),1))),"Formato inválido",TEXT(DATE(LEFT(AC23,4),RIGHT(AC23,2),1),"mmmm")&amp;" "&amp;LEFT(AC23,4)))</f>
        <v>Formato Inválido</v>
      </c>
    </row>
    <row r="24" spans="1:31" x14ac:dyDescent="0.25">
      <c r="A24" s="51"/>
      <c r="B24" t="str">
        <f t="shared" si="0"/>
        <v>Formato Inválido</v>
      </c>
      <c r="E24" s="51"/>
      <c r="F24" t="str">
        <f>PROPER(IF(OR(E24="",ISERROR(DATE(LEFT(E24,4),RIGHT(E24,2),1))),"Formato inválido",TEXT(DATE(LEFT(E24,4),RIGHT(E24,2),1),"mmmm")&amp;" "&amp;LEFT(E24,4)))</f>
        <v>Formato Inválido</v>
      </c>
      <c r="I24" s="51"/>
      <c r="J24" t="str">
        <f t="shared" si="1"/>
        <v>Formato Inválido</v>
      </c>
      <c r="N24" t="str">
        <f t="shared" si="2"/>
        <v>Formato Inválido</v>
      </c>
      <c r="Q24" s="51"/>
      <c r="R24" t="str">
        <f t="shared" si="3"/>
        <v>Formato Inválido</v>
      </c>
      <c r="S24" s="52"/>
      <c r="U24" s="51"/>
      <c r="V24" t="str">
        <f t="shared" si="4"/>
        <v>Formato Inválido</v>
      </c>
      <c r="W24" s="52"/>
      <c r="Z24" t="str">
        <f t="shared" si="5"/>
        <v>Formato Inválido</v>
      </c>
      <c r="AD24" t="str">
        <f t="shared" si="6"/>
        <v>Formato Inválido</v>
      </c>
      <c r="AE24" s="52"/>
    </row>
  </sheetData>
  <mergeCells count="8">
    <mergeCell ref="A17:B17"/>
    <mergeCell ref="A18:B18"/>
    <mergeCell ref="I1:J1"/>
    <mergeCell ref="I2:J2"/>
    <mergeCell ref="I3:J3"/>
    <mergeCell ref="I4:J4"/>
    <mergeCell ref="A15:B15"/>
    <mergeCell ref="A16:B16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VISION GENERAL</vt:lpstr>
      <vt:lpstr>DATOS OCULTOS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Rinaldi</dc:creator>
  <cp:lastModifiedBy>Gabriel Rinaldi</cp:lastModifiedBy>
  <dcterms:created xsi:type="dcterms:W3CDTF">2025-11-06T02:01:00Z</dcterms:created>
  <dcterms:modified xsi:type="dcterms:W3CDTF">2025-11-11T23:19:11Z</dcterms:modified>
</cp:coreProperties>
</file>